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escritorio\dashboard-comercial\"/>
    </mc:Choice>
  </mc:AlternateContent>
  <xr:revisionPtr revIDLastSave="0" documentId="13_ncr:1_{F0CDE13F-E005-47E2-AE1E-B953FD554901}" xr6:coauthVersionLast="47" xr6:coauthVersionMax="47" xr10:uidLastSave="{00000000-0000-0000-0000-000000000000}"/>
  <bookViews>
    <workbookView xWindow="-120" yWindow="-120" windowWidth="29040" windowHeight="15720" activeTab="2" xr2:uid="{7B1E2632-811D-444E-968E-A61DE9CC4860}"/>
  </bookViews>
  <sheets>
    <sheet name="Hoja1" sheetId="1" r:id="rId1"/>
    <sheet name="FAC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20" i="1" l="1"/>
  <c r="H20" i="1"/>
  <c r="G22" i="1"/>
  <c r="H22" i="1"/>
  <c r="E22" i="1"/>
  <c r="E20" i="1"/>
  <c r="D22" i="1"/>
  <c r="D20" i="1"/>
  <c r="C20" i="1"/>
  <c r="C22" i="1"/>
</calcChain>
</file>

<file path=xl/sharedStrings.xml><?xml version="1.0" encoding="utf-8"?>
<sst xmlns="http://schemas.openxmlformats.org/spreadsheetml/2006/main" count="3290" uniqueCount="608">
  <si>
    <t>#</t>
  </si>
  <si>
    <t>Sucursal</t>
  </si>
  <si>
    <t>Ventas</t>
  </si>
  <si>
    <t>Meta mensual</t>
  </si>
  <si>
    <t>Meta diaria</t>
  </si>
  <si>
    <t>Cumplimiento</t>
  </si>
  <si>
    <t>Pendientes</t>
  </si>
  <si>
    <t>Facturas</t>
  </si>
  <si>
    <t>MACHANGARA</t>
  </si>
  <si>
    <t>B_MACHANGARA</t>
  </si>
  <si>
    <t>53.27%</t>
  </si>
  <si>
    <t>AZOGUES</t>
  </si>
  <si>
    <t>B_AZOGUES</t>
  </si>
  <si>
    <t>33.99%</t>
  </si>
  <si>
    <t>Total</t>
  </si>
  <si>
    <t>41.49%</t>
  </si>
  <si>
    <t>106.91%</t>
  </si>
  <si>
    <t>91.58%</t>
  </si>
  <si>
    <t>100.34%</t>
  </si>
  <si>
    <t>id</t>
  </si>
  <si>
    <t>numero_factura</t>
  </si>
  <si>
    <t>fecha_factura</t>
  </si>
  <si>
    <t>cod_producto</t>
  </si>
  <si>
    <t>descr_producto</t>
  </si>
  <si>
    <t>cod_categoria</t>
  </si>
  <si>
    <t>descr_categoria</t>
  </si>
  <si>
    <t>cod_marca</t>
  </si>
  <si>
    <t>descr_marca</t>
  </si>
  <si>
    <t>cod_tipo_inv</t>
  </si>
  <si>
    <t>cantidad</t>
  </si>
  <si>
    <t>precio_unitario</t>
  </si>
  <si>
    <t>precio_total</t>
  </si>
  <si>
    <t>total_con_iva</t>
  </si>
  <si>
    <t>costo</t>
  </si>
  <si>
    <t>descuento</t>
  </si>
  <si>
    <t>descuento_pct</t>
  </si>
  <si>
    <t>bodega</t>
  </si>
  <si>
    <t>lista_precio</t>
  </si>
  <si>
    <t>termino_pago</t>
  </si>
  <si>
    <t>usuario</t>
  </si>
  <si>
    <t>codigo_vend</t>
  </si>
  <si>
    <t>nombre_vend</t>
  </si>
  <si>
    <t>codigo_cliente</t>
  </si>
  <si>
    <t>ruc_cliente</t>
  </si>
  <si>
    <t>razon_social</t>
  </si>
  <si>
    <t>grupo_cliente</t>
  </si>
  <si>
    <t>nombre_ciudad</t>
  </si>
  <si>
    <t>ruta_documento</t>
  </si>
  <si>
    <t>FA005-303-000001108</t>
  </si>
  <si>
    <t>AMA0036</t>
  </si>
  <si>
    <t>AMALIE 10W30 GL SEMI SINTETICO</t>
  </si>
  <si>
    <t>LUBRICANTES</t>
  </si>
  <si>
    <t>AMALIE</t>
  </si>
  <si>
    <t>BRONCE</t>
  </si>
  <si>
    <t>Lista D</t>
  </si>
  <si>
    <t>30_DIAS</t>
  </si>
  <si>
    <t>OCHILLOGALLI</t>
  </si>
  <si>
    <t>CHILLOGALLI SINCHI OMAR MARCELO</t>
  </si>
  <si>
    <t>CL-19042</t>
  </si>
  <si>
    <t>LOJA SARI NELLY EMPERATRIZ</t>
  </si>
  <si>
    <t>AGENTE MACHANGARA- OMAR CHILLOGALLI</t>
  </si>
  <si>
    <t>CUENCA</t>
  </si>
  <si>
    <t>R_MACHANGARA</t>
  </si>
  <si>
    <t>AMB0015</t>
  </si>
  <si>
    <t>AMBIENTALES AMALIE</t>
  </si>
  <si>
    <t>MARKETING</t>
  </si>
  <si>
    <t>AUTEKPH3387</t>
  </si>
  <si>
    <t>AUTTEK ACEITE PH3387 CORSA , AVEO, DMAX, GROOVE, JOY(18X1.5)/ SH2862</t>
  </si>
  <si>
    <t>FILTRO ACEITE LIVIANO</t>
  </si>
  <si>
    <t>AUTEK</t>
  </si>
  <si>
    <t>AUTTEK</t>
  </si>
  <si>
    <t>ORO</t>
  </si>
  <si>
    <t>AUTEKPH3593</t>
  </si>
  <si>
    <t>AUTTEK ACEITE PH3593 ACCENT/KIA (ALTO) (M20X1.5)</t>
  </si>
  <si>
    <t>AUTEKPH966</t>
  </si>
  <si>
    <t>AUTTEK ACEITE PH966 VITARA, GRAND VITARA, FORZA I-II- DMAX 2.4 2015 // JETOUR X70 1.5 (3/4X16) / PH3614</t>
  </si>
  <si>
    <t>ECO0001.</t>
  </si>
  <si>
    <t>ECOVALOR RECOIL AM 042</t>
  </si>
  <si>
    <t>PRODUCTO EN GENERAL</t>
  </si>
  <si>
    <t>S/M</t>
  </si>
  <si>
    <t>HYD0012</t>
  </si>
  <si>
    <t>HYDRAULAN 15W40 CANECA SEMI SINTETICO CI4</t>
  </si>
  <si>
    <t>HYDRAULAN</t>
  </si>
  <si>
    <t>PLATA</t>
  </si>
  <si>
    <t>TAJ0003</t>
  </si>
  <si>
    <t>TARJETAS DE CAMBIO AMALIE</t>
  </si>
  <si>
    <t>FA005-303-000001109</t>
  </si>
  <si>
    <t>AUTEK0050</t>
  </si>
  <si>
    <t>AUTTEK SILICON RTV HIGH GREY 3.0 ONZ</t>
  </si>
  <si>
    <t>ADITIVOS</t>
  </si>
  <si>
    <t>CL-17054</t>
  </si>
  <si>
    <t>NARVAEZ NIOLA RAUL ALCIVAR</t>
  </si>
  <si>
    <t>HT0055</t>
  </si>
  <si>
    <t>HT2 CLEAN SILICONA UV CARRO NUEVO/ ZERO KILOMETROS 350ML</t>
  </si>
  <si>
    <t>PRODUCTO DE LIMPIEZA</t>
  </si>
  <si>
    <t>HT2 CLEAN</t>
  </si>
  <si>
    <t>LOG0001</t>
  </si>
  <si>
    <t>SERVICIO LOGISTICO</t>
  </si>
  <si>
    <t>TP PRUEBA</t>
  </si>
  <si>
    <t>FA005-303-000001110</t>
  </si>
  <si>
    <t>SUL0001</t>
  </si>
  <si>
    <t>ANTISULFATANTES ESPONJA ROJO Y NEGRO</t>
  </si>
  <si>
    <t>1_DIA</t>
  </si>
  <si>
    <t>CL-25506</t>
  </si>
  <si>
    <t>JIMBO QUIZHPE PEDRO JAVIER</t>
  </si>
  <si>
    <t>HT0042</t>
  </si>
  <si>
    <t>HT2 CLEAN DESENGRASANTE GOLD / PREMIUM CANECA</t>
  </si>
  <si>
    <t>HT0039</t>
  </si>
  <si>
    <t>HT2 CLEAN LIQUIDO PARA RADIADOR VERDE 1/4</t>
  </si>
  <si>
    <t>REFRIGERANTE</t>
  </si>
  <si>
    <t>HT0080</t>
  </si>
  <si>
    <t>HT2 CLEAN SILICON PREMIUM CANECA / CARRO NUEVO</t>
  </si>
  <si>
    <t>MAC42700</t>
  </si>
  <si>
    <t>MAC BATERIA 42700 SILVER</t>
  </si>
  <si>
    <t>BATERIAS</t>
  </si>
  <si>
    <t>MAC</t>
  </si>
  <si>
    <t>FA005-303-000001111</t>
  </si>
  <si>
    <t>AUTEK0013</t>
  </si>
  <si>
    <t>AUTTEK PINTURA NEGRO BRILLANTE 450ML VSL-3</t>
  </si>
  <si>
    <t>CL-19140</t>
  </si>
  <si>
    <t>PINEDA SINCHI WILMER ADRIAN</t>
  </si>
  <si>
    <t>AUTEK0012</t>
  </si>
  <si>
    <t>AUTTEK PINTURA NEGRO MATE 450ML VSL-1</t>
  </si>
  <si>
    <t>MOT0032</t>
  </si>
  <si>
    <t>MOTOREX 20W50 4T 1/4 SEMI SINTETICO JASO MA2</t>
  </si>
  <si>
    <t>MOTOREX</t>
  </si>
  <si>
    <t>FA005-303-000001112</t>
  </si>
  <si>
    <t>ABR0001</t>
  </si>
  <si>
    <t>ABRO LIMPIADOR DE CARBURADOR 12ONZ (340G)/ CC-220-CH</t>
  </si>
  <si>
    <t>ABRO</t>
  </si>
  <si>
    <t>CL-22456</t>
  </si>
  <si>
    <t>GUEVARA ORTEGA MARCEL  GUSTAVO</t>
  </si>
  <si>
    <t>FA005-303-000001113</t>
  </si>
  <si>
    <t>CL-25112</t>
  </si>
  <si>
    <t>OSWALDO PATRICIO CONTRERAS PUGO</t>
  </si>
  <si>
    <t>GOL0031</t>
  </si>
  <si>
    <t>GOLDEN BEAR 20W50 1/4 8K GOLD SEMI SYNT SP</t>
  </si>
  <si>
    <t>GOLDEN BEAR</t>
  </si>
  <si>
    <t>GOL0030</t>
  </si>
  <si>
    <t>GOLDEN BEAR 20W50 GL 8K GOLD 8K SEMI SYNT SP</t>
  </si>
  <si>
    <t>SHOSH2862</t>
  </si>
  <si>
    <t>SHOGUN ACEITE SH2862 SAN REMO 3387/GROOVE/JOY</t>
  </si>
  <si>
    <t>SHOGUN</t>
  </si>
  <si>
    <t>FA005-303-000001114</t>
  </si>
  <si>
    <t>SHOALG2230</t>
  </si>
  <si>
    <t>SHOGUN DIESEL ALG2230 JAC T6 2.8 CC DIESEL 2019 KIA SORENTO DIESEL 200 313003 7(DRENAJE)/ FC2904  / 1457434310B / AUTEK4310B / SKYFRL659</t>
  </si>
  <si>
    <t>FILTRO DE DIESEL</t>
  </si>
  <si>
    <t>Lista A</t>
  </si>
  <si>
    <t>CONTADO</t>
  </si>
  <si>
    <t>DMONTESDEOCA</t>
  </si>
  <si>
    <t>DAVID FRANCISCO MONTESDEOCA MONTESDEOCA</t>
  </si>
  <si>
    <t>CLLYUNGA-000114</t>
  </si>
  <si>
    <t>CARDENAS MARIN CARLOS AGUSTIN</t>
  </si>
  <si>
    <t>SHOFF5138GL</t>
  </si>
  <si>
    <t>SHOGUN DIESEL FF5138 GOLD HINO GD GH LUV DMAX DIESEL P550225/LFF3553 / FC034</t>
  </si>
  <si>
    <t>FA005-302-000007510</t>
  </si>
  <si>
    <t>AUTEK296</t>
  </si>
  <si>
    <t>AUTTEK DIESEL CAV296 SPORTERO L200, KARNIVAL/PC2/155 / MOTF2960 / SKY448</t>
  </si>
  <si>
    <t>NESPINOZA</t>
  </si>
  <si>
    <t>ESPINOZA YANGUA NEXALY</t>
  </si>
  <si>
    <t>CL-06009</t>
  </si>
  <si>
    <t>PANEGA PACURUCU EVELYN</t>
  </si>
  <si>
    <t>FA005-303-000001115</t>
  </si>
  <si>
    <t>MOTA4650</t>
  </si>
  <si>
    <t>MOTOREX AIRE MA4650 NISSAN KICKS 1.6 2017-22 VERSA 1.6 2022 / 16546-5RA0A / FA5419</t>
  </si>
  <si>
    <t>FILTRO AIRE LIVIANO</t>
  </si>
  <si>
    <t>CL-19271</t>
  </si>
  <si>
    <t>PUCHA PUCHA CHRISTIAN FERNANDO</t>
  </si>
  <si>
    <t>FA005-303-000001116</t>
  </si>
  <si>
    <t>AUTEK1974</t>
  </si>
  <si>
    <t>AUTTEK COMBUSTIBLE 25121974 CHEVROLET LUV 2.2, VAN N200 1.2 (10-14), VAN N300 1.2 (12-19), TROOPER, RODEO, GREAT WALL H3 Y H5 2.0 Y 2.4 (12-17), WINGLE /FRL047/14080MF2021</t>
  </si>
  <si>
    <t>FILTRO DE COMBUSTIBLE</t>
  </si>
  <si>
    <t>Lista C</t>
  </si>
  <si>
    <t>CL-03250</t>
  </si>
  <si>
    <t>ZUMBA TENESACA SILVIO ROLANDO</t>
  </si>
  <si>
    <t>SHOAF7864</t>
  </si>
  <si>
    <t>SHOGUN AIRE AF7864 CHEV LUV 2.2CC 2003 RODEO 2001 /8-97035-303-0/ VOR3030 / TEC0020 / ULT6470/RED0039</t>
  </si>
  <si>
    <t>FA005-302-000007511</t>
  </si>
  <si>
    <t>AMBAUTTEK1</t>
  </si>
  <si>
    <t>AMBIENTALES AUTTEK</t>
  </si>
  <si>
    <t>CL-19262</t>
  </si>
  <si>
    <t>FARFAN FIGUEROA ERICK DAMIAN</t>
  </si>
  <si>
    <t>AUTEK0032</t>
  </si>
  <si>
    <t>AUTTEK 10W30 GL SEMI-SINTETICO EVOLUX API SQ</t>
  </si>
  <si>
    <t>AUTEK0034</t>
  </si>
  <si>
    <t>AUTTEK 20W50 GL SEMI-SINTETICO EVOLUX API SQ</t>
  </si>
  <si>
    <t>AUTEKPH9727</t>
  </si>
  <si>
    <t>AUTTEK ACEITE PH9727 NEW GAC GA4 1.3T (19-21), GA4 1.5 (19-21), GS3 1.3T (19-21), GS4 1.3 (19-21), GS7 2.0T (19-21), GS8 2.0T (19-21) / PH2903</t>
  </si>
  <si>
    <t>SHOPSL77</t>
  </si>
  <si>
    <t>SHOGUN ACEITE PSL77 RENAULT TINGO MEGANI/ RED3583T</t>
  </si>
  <si>
    <t>SHO28078</t>
  </si>
  <si>
    <t>SHOGUN AIRE AF28078 NEW GAC GA4 1.3T (19-21), GA4 1.5 (19-21), GS3 1.3T (19-21), GS4 1.3 (19-21), GS7 2.0T (19-21), GS8 2.0T (19-21) / SA9093 / REDFA6</t>
  </si>
  <si>
    <t>TAJ0017</t>
  </si>
  <si>
    <t>TARJETAS DE CAMBIO AUTTEK</t>
  </si>
  <si>
    <t>FA005-302-000007512</t>
  </si>
  <si>
    <t>SAMSO1315D</t>
  </si>
  <si>
    <t>SAMURY ACEITE SO1315D OIL GREAT WALL POER 2.0T CRDI (20-23) / OEM: 1017110XED95</t>
  </si>
  <si>
    <t>SAMURY</t>
  </si>
  <si>
    <t>CL-20305</t>
  </si>
  <si>
    <t>S.A.S SOLUAUTOS</t>
  </si>
  <si>
    <t>RC005-301-000000284</t>
  </si>
  <si>
    <t>ABR0079</t>
  </si>
  <si>
    <t>ABRO LIMPIA CONTACTOS ELECTRICOS 7.10 ONZ</t>
  </si>
  <si>
    <t>FA005-303-000001117</t>
  </si>
  <si>
    <t>MIL3675</t>
  </si>
  <si>
    <t>MILLARD ACEITE ML3675 / PH3675 CHEVROLET CAPTIVA 3.2 (09-13), TRAIL BLAZER 4.2 (02-04), TAHOE 5.3  (00-02), SILVERADO 5.3 (99-02) / PH59 /P550599</t>
  </si>
  <si>
    <t>MILLAR</t>
  </si>
  <si>
    <t>CL-14779</t>
  </si>
  <si>
    <t>ALVARADO POLO RENE ALFONSO</t>
  </si>
  <si>
    <t>PREAIP692</t>
  </si>
  <si>
    <t>PREMIUM FILTER AIRE AIP-692 / EJP19601ABL SSANGYONG KYRON, ACTION / A2936 / C30171  / OEM: 23190-21001</t>
  </si>
  <si>
    <t>PREMIUM FILTERS</t>
  </si>
  <si>
    <t>SAMSFS4829</t>
  </si>
  <si>
    <t>SAMURY DIESEL SFS4829 SEC. SEPARADOR DE AGUA DONGFENG RICH6 2.5T (21-22), GREAT WALL WINGLE 2.0 Y 2.8 (13-21), JAC T6 Y T8 2.0T CTI (17-22), JMC VIGUS / TERRALORD 2.5T TDI  [2020 - 2021]/AFP-422</t>
  </si>
  <si>
    <t>SKY684</t>
  </si>
  <si>
    <t>SKYFIL DIESEL FRL684 HDY TERRACAN (2 PATAS); SSANYONG; JMC VIGUS</t>
  </si>
  <si>
    <t>SKYFIL</t>
  </si>
  <si>
    <t>FA005-303-000001118</t>
  </si>
  <si>
    <t>SILV2040</t>
  </si>
  <si>
    <t>SILVER ACEITE V2040 CHERY TIGGO 1.6 2014, JETOUR X70 COUPE 1.6T (2022/-&gt;) / SAMSO504/REDE4G16/ OEM: E4G16-1012040</t>
  </si>
  <si>
    <t>SILVER</t>
  </si>
  <si>
    <t>CL-20168</t>
  </si>
  <si>
    <t>GCBCOMPANY S.A.S.</t>
  </si>
  <si>
    <t>FA005-303-000001119</t>
  </si>
  <si>
    <t>AUTEK70110</t>
  </si>
  <si>
    <t>AUTTEK DIESEL 8980370110 IZUSU FTR//FVR/NPR MODERNO / EF1509</t>
  </si>
  <si>
    <t>CL-20207</t>
  </si>
  <si>
    <t>AUTOBOXCUENCA CIA.LTDA.</t>
  </si>
  <si>
    <t>OROCA2093</t>
  </si>
  <si>
    <t>ORO AIRE CA2093 CHEVROLET NLR NPR NMR 19 20/ SR2093/ AA42610</t>
  </si>
  <si>
    <t>FILTRO AIRE PESADO</t>
  </si>
  <si>
    <t>SAMSFC407</t>
  </si>
  <si>
    <t>SAMURY DIESEL SFC407 H100 KIA PREGGIO, MITSUBISHI L200, MONTERO BLISTER DIESEL, KIA CARNIVAL 2001</t>
  </si>
  <si>
    <t>SHOC1522</t>
  </si>
  <si>
    <t>SHOGUN ACEITE C1522 NPR</t>
  </si>
  <si>
    <t>FILTRO ACEITE PESADO</t>
  </si>
  <si>
    <t>FA005-303-000001120</t>
  </si>
  <si>
    <t>CL-22648</t>
  </si>
  <si>
    <t>CARTOTRADESA S.A.</t>
  </si>
  <si>
    <t>HYD0001</t>
  </si>
  <si>
    <t>HYDRAULAN ISO 68 CANECA HIDRAULICO AMARILLO</t>
  </si>
  <si>
    <t>FA005-303-000001121</t>
  </si>
  <si>
    <t>CONO0008</t>
  </si>
  <si>
    <t>CONOCO P66 10W30 1/4</t>
  </si>
  <si>
    <t>PHILLIPS</t>
  </si>
  <si>
    <t>CLJMENDEZ-000287</t>
  </si>
  <si>
    <t>PADILLA LEON PEDRO</t>
  </si>
  <si>
    <t>FA005-303-000001122</t>
  </si>
  <si>
    <t>HT0001</t>
  </si>
  <si>
    <t>HT2 CLEAN DESENGRASANTE SILVER / SUPER CANECA</t>
  </si>
  <si>
    <t>CL-22484</t>
  </si>
  <si>
    <t>GUALPA JAYA NANCY XIMENA</t>
  </si>
  <si>
    <t>FA005-302-000007513</t>
  </si>
  <si>
    <t>quizphi quintuña manuel jesus</t>
  </si>
  <si>
    <t>AUTEK0038</t>
  </si>
  <si>
    <t>AUTTEK 15W40 GL SEMI-SINTETICO PRIME EVOLUTION API CK-4/SN</t>
  </si>
  <si>
    <t>AUTEK73C10</t>
  </si>
  <si>
    <t>AUTTEK AIRE 16546-73C10 NISSAN SENTRA INY B13, B14; JUKE 2010; CIVIC V; CIVIC VI / VOR4101 / A1833 / C2329 /MOTA4630</t>
  </si>
  <si>
    <t>FILTREQ28836</t>
  </si>
  <si>
    <t>FILTREQ HIDRAULICO SH60719 MASSEY FERGUSON/ HF28836 / H2719 / P550576 /06080PT8392</t>
  </si>
  <si>
    <t>FILTRO HIDRAULICO</t>
  </si>
  <si>
    <t>FILTREQ</t>
  </si>
  <si>
    <t>FLEFS1212</t>
  </si>
  <si>
    <t>FLEETGUARD DIESEL FS1212 CON PURGA / DONP558000 / IFF8020 / SFC5705</t>
  </si>
  <si>
    <t>FLEEDGUART</t>
  </si>
  <si>
    <t>GUA0001</t>
  </si>
  <si>
    <t>GUAIPE DE COLOR FUNDA</t>
  </si>
  <si>
    <t>GUAIPE</t>
  </si>
  <si>
    <t>SAKH7911</t>
  </si>
  <si>
    <t>SAKURA HIDRAULICO H7911 SAMSUNG KOM LH8544// P551210</t>
  </si>
  <si>
    <t>SAKURA</t>
  </si>
  <si>
    <t>SAKHC5801</t>
  </si>
  <si>
    <t>SAKURA HIDRAULICO HC5801 CATERPILLAR 312BL-325B -320CL- MOTOR 3116T -3176T/HF35018/P551348/BT305 /51621 GP166 P8480 CAT 937521/ FH4246</t>
  </si>
  <si>
    <t>SHOC1717</t>
  </si>
  <si>
    <t>SHOGUN ACEITE C1717 MAZDA/FOR TRADER LFP8703/P502060</t>
  </si>
  <si>
    <t>SHOFC353</t>
  </si>
  <si>
    <t>SHOGUN DIESEL FC353 MITSUBISHI KATERPILLAR 320 PALA, HD72/ FC1003</t>
  </si>
  <si>
    <t>FA005-303-000001123</t>
  </si>
  <si>
    <t>AUTEKPH7325</t>
  </si>
  <si>
    <t>AUTTEK ACEITE PH7325 GREAT WALL HAVAL H5 2.5T CRDI (11-13), WINGLE 2.5T Y 2.8T CRDI (11-17); CHERY TIGGO 5 2.0 (18-20); CHANGAN CS35, CHEVROLET LUV DIE</t>
  </si>
  <si>
    <t>FA005-303-000001124</t>
  </si>
  <si>
    <t>SHOALG9240</t>
  </si>
  <si>
    <t>SHOGUN COMBUSTIBLE ALG9240 SUMERGIBLE CHEVROLET SPARK GT 2011-22 BEAT 2019-20 / ALG9240 / REDFF3544T / BFITU33C / OEM: 13578996/MOTFMF8996</t>
  </si>
  <si>
    <t>CLJMENDEZ-000031</t>
  </si>
  <si>
    <t>KMP CAR CENTER</t>
  </si>
  <si>
    <t>FA005-302-000007514</t>
  </si>
  <si>
    <t>SAMSA12296</t>
  </si>
  <si>
    <t>SAMURY AIRE SA12296 KIA RIO R 2018-&gt;; STONIC / AUTEKH9100 / BAH138C / OEM: 28113-H9100 / SILV9100 / TEC0001 /KIA-0006/</t>
  </si>
  <si>
    <t>FA005-303-000001125</t>
  </si>
  <si>
    <t>AUTEKG6000</t>
  </si>
  <si>
    <t>AUTTEK AIRE 28113-G6000 KIA PICANTO R (17/19) CILINDRICO / KUB31805 / SAMSA9623 / RED0032 / OJI6000F / MIL60813 / NOVA0004</t>
  </si>
  <si>
    <t>CL-15088</t>
  </si>
  <si>
    <t>CORONEL BENJAMIN</t>
  </si>
  <si>
    <t>FA005-302-000007515</t>
  </si>
  <si>
    <t>NGKDCPR7E</t>
  </si>
  <si>
    <t>NGK BUJIA CHEVROLET ALTO 1.1 SAIL N200 1.2 10-14, N300 1.2 12-16 JAPON, GROOVE 1.5 21-22, SPARK GT 1.2 11-22, FOTON GRATOUR Y TUNLAND, CHERY A1NICE 1.3 13-14/ COD 3932 / D-XU22EPR-U</t>
  </si>
  <si>
    <t>BUJIAS</t>
  </si>
  <si>
    <t>NGK</t>
  </si>
  <si>
    <t>FA005-303-000001126</t>
  </si>
  <si>
    <t>ATE0001</t>
  </si>
  <si>
    <t>ATE LIQUIDO FRENO 1LT DOT3</t>
  </si>
  <si>
    <t>LIQUIDO DE FRENO</t>
  </si>
  <si>
    <t>ATE</t>
  </si>
  <si>
    <t>CL-25061</t>
  </si>
  <si>
    <t>CONSUMIDOR FINAL</t>
  </si>
  <si>
    <t>FA005-303-000001127</t>
  </si>
  <si>
    <t>AUTEK0010</t>
  </si>
  <si>
    <t>AUTTEK SILICONA SPRAY 450ML VSL-39</t>
  </si>
  <si>
    <t>FA005-302-000007516</t>
  </si>
  <si>
    <t>AUTEKPH2825</t>
  </si>
  <si>
    <t>AUTTEK ACEITE PH2825 NISSAN SENTRA B-13 1.6 CARB. (92-96), PATHFINDER CARB.(92-96); DATSUN CARB; TOYOTA CARB / SPH2825 / SH2825</t>
  </si>
  <si>
    <t>CL-15846</t>
  </si>
  <si>
    <t>ABRIL VASQUEZ EDWIN ABEL</t>
  </si>
  <si>
    <t>AUTEKPH2849</t>
  </si>
  <si>
    <t>AUTTEK ACEITE PH2849 MAZDA1.6-1.8, B2000, FORD COURIER 1.6-1.8, PEUGEOT 505, JAC T8 DIESEL (M20X1.5)  / SH2849A /SOF-O-1098</t>
  </si>
  <si>
    <t>AUTEK13Z40</t>
  </si>
  <si>
    <t>AUTTEK AIRE G601-13-Z40 MAZDA B-2200 INY 99-05/ MAZDA B-2600 INY, BT50 2.2 2.6 06-15, FORD RANGER 2.6 07-09 / SILVA6558 / ULT6448 / REC040001C / TEC000</t>
  </si>
  <si>
    <t>FOC0093</t>
  </si>
  <si>
    <t>FOCO FLOSSER 4291 BOMBILLO UNA 12V W5W W2 (T10)</t>
  </si>
  <si>
    <t>ACCESORIOS</t>
  </si>
  <si>
    <t>FLOSSER</t>
  </si>
  <si>
    <t>FOC0073</t>
  </si>
  <si>
    <t>FOCO OSRAM GUIA 2PUNTOS 12V 21/5W COD 7528</t>
  </si>
  <si>
    <t>OSRAM</t>
  </si>
  <si>
    <t>SHOARL6070</t>
  </si>
  <si>
    <t>SHOGUN AIRE ARL6070 AMAROK DIESEL / BAU2248CS / ARL6070 / AA10697 / RED0052 / PABD278 /SA278/ FA6017 / E1057L / ARL6070 / OEM: 2H0129620A</t>
  </si>
  <si>
    <t>FA005-303-000001128</t>
  </si>
  <si>
    <t>MOT0014</t>
  </si>
  <si>
    <t>MOTOREX SAE 140 1/4 GEAR EP GL-4</t>
  </si>
  <si>
    <t>FA005-303-000001129</t>
  </si>
  <si>
    <t>VIS0134</t>
  </si>
  <si>
    <t>VISTONY 2T 1/4 RAYVON SUPER ROJO</t>
  </si>
  <si>
    <t>VISTONY</t>
  </si>
  <si>
    <t>FA005-303-000001130</t>
  </si>
  <si>
    <t>AUTEK4310B</t>
  </si>
  <si>
    <t>AUTTEK DIESEL 1457434310B GREAT WALL WINGLE 2.5 Y 2.8 (11-18), SEC JAC T6 2.0T CTI (17-20), T8 2.0T CTI (20-21); MAHINDRA PICK UP 2.2 (13-19) , SCORPIO 2.2 / FRL659 / FC2904 / ALG2230 / SAMSFS4829</t>
  </si>
  <si>
    <t>FA005-302-000007517</t>
  </si>
  <si>
    <t>AUTEK0003</t>
  </si>
  <si>
    <t>AUTTEK OCTANE BOOSTER / ELEVADOR DE OCTANAJE 354ML</t>
  </si>
  <si>
    <t>FA005-303-000001131</t>
  </si>
  <si>
    <t>MOTO2221</t>
  </si>
  <si>
    <t>MOTOREX ACEITE MO2221 PARA NISSAN FRONTIER NP300 2.5T DCI 2018-24 / DONP550318 / LUFLFP2221 / MANW920/7 / TEFPSL171 / BALB229 /P550318/LF3376 / LFP2221</t>
  </si>
  <si>
    <t>CL-16576</t>
  </si>
  <si>
    <t>BUSTAMANTE VELEZ RAMIRO HERNAN</t>
  </si>
  <si>
    <t>FA005-303-000001132</t>
  </si>
  <si>
    <t>TRIF118</t>
  </si>
  <si>
    <t>FOCO 118 TRIFA 2 PUNTOS 24V</t>
  </si>
  <si>
    <t>TRIFA</t>
  </si>
  <si>
    <t>FA005-302-000007518</t>
  </si>
  <si>
    <t>Lista B</t>
  </si>
  <si>
    <t>CLNESPINO-000014</t>
  </si>
  <si>
    <t>QUEZADA ORTEGA FAUTO VINICIO</t>
  </si>
  <si>
    <t>CAS0018</t>
  </si>
  <si>
    <t>CASTROL 25W60 1/4 GASOLINA</t>
  </si>
  <si>
    <t>CASTROL</t>
  </si>
  <si>
    <t>CAS0020</t>
  </si>
  <si>
    <t>CASTROL 25W60 GL GASOLINA</t>
  </si>
  <si>
    <t>LIQ0002</t>
  </si>
  <si>
    <t>LIQUI MOLY OIL SMOKE STOP 300ML COD 2122</t>
  </si>
  <si>
    <t>LIQUI MOLY</t>
  </si>
  <si>
    <t>WD0002</t>
  </si>
  <si>
    <t>WD-40 LUBRICANTE PENETRANTE 11OZ</t>
  </si>
  <si>
    <t>WD41</t>
  </si>
  <si>
    <t>FA005-303-000001133</t>
  </si>
  <si>
    <t>FOC0006</t>
  </si>
  <si>
    <t>FOCO FLOSSER 1PUNTO 12V/21W (6671)ALEMAN</t>
  </si>
  <si>
    <t>FA005-303-000001134</t>
  </si>
  <si>
    <t>HYD0045</t>
  </si>
  <si>
    <t>HYDRAULAN GRASA CANECA ROJA PREMIUN CALCIO GL-2 BL 30LB</t>
  </si>
  <si>
    <t>GRASA</t>
  </si>
  <si>
    <t>CL-19706</t>
  </si>
  <si>
    <t>SERVICIOS MATERIALES Y CONSTRUCCIONES CORDERO VINTIMILLA S.A.</t>
  </si>
  <si>
    <t>FA005-302-000007519</t>
  </si>
  <si>
    <t>SHOGL2862</t>
  </si>
  <si>
    <t>SHOGUN ACEITE SH2862-XPL SYNTHETIC GOLD /3387/2862/ PH47XL</t>
  </si>
  <si>
    <t>CL-07872</t>
  </si>
  <si>
    <t>PEDRO ALI</t>
  </si>
  <si>
    <t>TAP0001</t>
  </si>
  <si>
    <t>TAPON CARTER (ACERO) M14 X 1.5 (SIN ARANDELA) 043-114</t>
  </si>
  <si>
    <t>HERRAMIENTAS</t>
  </si>
  <si>
    <t>TAPON CARTER</t>
  </si>
  <si>
    <t>FA005-302-000007520</t>
  </si>
  <si>
    <t>CL-14889</t>
  </si>
  <si>
    <t>CALLE AVILA LAURO ABELARDO</t>
  </si>
  <si>
    <t>WOL0016</t>
  </si>
  <si>
    <t>WOLVER 5W30 GL ULTRATEC C3</t>
  </si>
  <si>
    <t>WOLVER</t>
  </si>
  <si>
    <t>FA005-302-000007521</t>
  </si>
  <si>
    <t>LIQ0009</t>
  </si>
  <si>
    <t>LIQUI MOLY SILECIADOR TAQUES HIDRAULICOS 300ML 8354</t>
  </si>
  <si>
    <t>CL-16397</t>
  </si>
  <si>
    <t>CARRION GUERRERO JORGE ABELARDO</t>
  </si>
  <si>
    <t>FA005-302-000007522</t>
  </si>
  <si>
    <t>HT0066</t>
  </si>
  <si>
    <t>HT2 CLEAN SILICONA UV BLACK ICE 350ML</t>
  </si>
  <si>
    <t>CL-16292</t>
  </si>
  <si>
    <t>BARBECHO WILSON</t>
  </si>
  <si>
    <t>HT0092</t>
  </si>
  <si>
    <t>HT2 CLEAN SILICONA UV SPLASH ME 350ML</t>
  </si>
  <si>
    <t>FA005-302-000007523</t>
  </si>
  <si>
    <t>MOTC9631</t>
  </si>
  <si>
    <t>MOTOREX CABINA MC9631 AMAROK / SPHB5762 / RED0129 / 7H0819631A</t>
  </si>
  <si>
    <t>FILTRO DE CABINA</t>
  </si>
  <si>
    <t>WAG0007</t>
  </si>
  <si>
    <t>WAGNER LIQUIDO DE FRENO 32 ONZ / 1 LT DOT 3 ENVASE PLASTICO</t>
  </si>
  <si>
    <t>WAGNER</t>
  </si>
  <si>
    <t>FA005-302-000007524</t>
  </si>
  <si>
    <t>FA005-302-000007525</t>
  </si>
  <si>
    <t>CLFVILLAR-000150</t>
  </si>
  <si>
    <t>CASTILLO GONZALEZ CARMITA MAGALY</t>
  </si>
  <si>
    <t>FA005-302-000007526</t>
  </si>
  <si>
    <t>TEC0052</t>
  </si>
  <si>
    <t>FILTEC AIRE TOY-0015 TOYOTA YARIS 2017-2020, MITSUBISHI MIRAGE 1.2, TOYOTA SIENTA 1.5, TYT RUSH/ A58370 / RED0012 / C58370/ 17801-0Y040 / 17801-BZ150/MA1780/SA2257/ARL2207</t>
  </si>
  <si>
    <t>FILTEC</t>
  </si>
  <si>
    <t>CL-19822</t>
  </si>
  <si>
    <t>FEDARI CIA LTDA</t>
  </si>
  <si>
    <t>FA005-302-000007527</t>
  </si>
  <si>
    <t>FA005-302-000007528</t>
  </si>
  <si>
    <t>CL-14800</t>
  </si>
  <si>
    <t>QUITO VELECELA MANUEL PATRICIO</t>
  </si>
  <si>
    <t>FA005-302-000007529</t>
  </si>
  <si>
    <t>HARWF2071</t>
  </si>
  <si>
    <t>HARDMAN DIESEL WF2071 ATLAS COPCO XT270, CASE PT350 III, IH9180, CATERPILLAR THX, DETROIT DIESEL 8V-92 /3315116/ BW5071/P55071/25MF214 / PSA299</t>
  </si>
  <si>
    <t>HARDMAN</t>
  </si>
  <si>
    <t>SHOC151</t>
  </si>
  <si>
    <t>SHOGUN ACEITE C151 TYT COASTER/DELTA 2002 C1112</t>
  </si>
  <si>
    <t>FA005-302-000007530</t>
  </si>
  <si>
    <t>CL-06210</t>
  </si>
  <si>
    <t>NARVEZ SUMBA  MANUEL BOLIVAR</t>
  </si>
  <si>
    <t>LIQ0015</t>
  </si>
  <si>
    <t>LIQUI MOLY MOS2 ANTIF-F GEARS (ANTIFRICCION) COD 2510</t>
  </si>
  <si>
    <t>VIS0033</t>
  </si>
  <si>
    <t>VISTONY SAE 90 1/4</t>
  </si>
  <si>
    <t>FA005-302-000007531</t>
  </si>
  <si>
    <t>SEN0033</t>
  </si>
  <si>
    <t>SENFINECO REPARA PINCHAZOS COD 9987 450ML</t>
  </si>
  <si>
    <t>SENFINECO</t>
  </si>
  <si>
    <t>CL-05813</t>
  </si>
  <si>
    <t>ENCALADA PALACIOS PABLO HUMBERTO</t>
  </si>
  <si>
    <t>FA005-302-000007532</t>
  </si>
  <si>
    <t>CL-10805</t>
  </si>
  <si>
    <t>TORRES GONZALEZ BYRON HUMBERTO</t>
  </si>
  <si>
    <t>FA005-302-000007533</t>
  </si>
  <si>
    <t>AUTEK0C010</t>
  </si>
  <si>
    <t>AUTTEK AIRE  17801-0C010 TOYOTA HI-LUX V VTI,MAZDA BT-50 DIESEL / STP7617 / VOR0C010 / AP-C010E / A2180 / AIP651 / AF26501/ DA2995 / RED0009 / ULT6063 / NOVA0057</t>
  </si>
  <si>
    <t>CLNESPINO-000015</t>
  </si>
  <si>
    <t>CAMPOVERDE PRIETO VICTOR HUGO</t>
  </si>
  <si>
    <t>FA005-303-000001135</t>
  </si>
  <si>
    <t>CL-02676</t>
  </si>
  <si>
    <t>JUCA GUAMAN DIANA ESPERANZA</t>
  </si>
  <si>
    <t>HAV0014</t>
  </si>
  <si>
    <t>HAVOLINE 20W50 1/4 SEMI SINT</t>
  </si>
  <si>
    <t>HAVOLINE</t>
  </si>
  <si>
    <t>FA005-302-000007534</t>
  </si>
  <si>
    <t>UNI0001</t>
  </si>
  <si>
    <t>COMBUSTIBLE FILTRO UNIVERSAL TRANSPARENTE</t>
  </si>
  <si>
    <t>UNIVERSAL</t>
  </si>
  <si>
    <t>CLJMENDEZ-000115</t>
  </si>
  <si>
    <t>EDISON ANTONIO LEMA SINCHI</t>
  </si>
  <si>
    <t>VIS0083</t>
  </si>
  <si>
    <t>VISTONY LIQUIDO DE FRENO 1 LT DOT 3</t>
  </si>
  <si>
    <t>FA005-302-000007535</t>
  </si>
  <si>
    <t>TEFPSL339</t>
  </si>
  <si>
    <t>TECFIL ACEITE PSL339 MERCEDES BENZ 1318; VW 9150, 13180, 14180; IVECO; NEW HOLLAND MOT.  MWM 6.10 /SAKC7008 / W1170/ LFP2229</t>
  </si>
  <si>
    <t>TECFIL</t>
  </si>
  <si>
    <t>CLJMENDEZ-000005</t>
  </si>
  <si>
    <t>MORAN QUINTERO ROBERTO MISAEL</t>
  </si>
  <si>
    <t>FA005-302-000007536</t>
  </si>
  <si>
    <t>FA005-302-000007537</t>
  </si>
  <si>
    <t>AUTEKA608</t>
  </si>
  <si>
    <t>AUTTEK AIRE 1500A608 MITSUBISHI L200 2.4L TURBODIESEL 2020---/ 1500A608 / PREAIP898 / FA6706 /A33411</t>
  </si>
  <si>
    <t>FA005-303-000001136</t>
  </si>
  <si>
    <t>DURA0001</t>
  </si>
  <si>
    <t>DURASTEEL PEGA EPOXICA 4 (1/12) ABBA - ABBA03</t>
  </si>
  <si>
    <t>DURASTEEL</t>
  </si>
  <si>
    <t>CL-17476</t>
  </si>
  <si>
    <t>GARCIA ALVAREZ DIEGO PAUL</t>
  </si>
  <si>
    <t>FA005-303-000001137</t>
  </si>
  <si>
    <t>MOTA1044</t>
  </si>
  <si>
    <t>MOTOREX AIRE MA1044 MITSUBISHI MONTERO V6 2.6 -2.4 (94-04) / SAMSA7605 / AIP531 / AF7876 / OEM: MD620823  / MD620837 /  VOR0823</t>
  </si>
  <si>
    <t>FA005-303-000001138</t>
  </si>
  <si>
    <t>WOL0030</t>
  </si>
  <si>
    <t>WOLVER 75W80 1/4 GEAR OIL GL-4 SINTETICO</t>
  </si>
  <si>
    <t>WOL0033</t>
  </si>
  <si>
    <t>WOLVER 75W90 1/4 MULTIPURPOSE GEAR GL4</t>
  </si>
  <si>
    <t>FA005-302-000007538</t>
  </si>
  <si>
    <t>CL-11793</t>
  </si>
  <si>
    <t>CABRERA RUIZ CARLOS ALBERTO</t>
  </si>
  <si>
    <t>FA005-303-000001139</t>
  </si>
  <si>
    <t>ACD0010</t>
  </si>
  <si>
    <t>ACDELCO 10W30 GL</t>
  </si>
  <si>
    <t>ACDELCO</t>
  </si>
  <si>
    <t>PINEDA PEREZ PAOLA STEFANIA</t>
  </si>
  <si>
    <t>FA005-302-000007539</t>
  </si>
  <si>
    <t>VIS0068</t>
  </si>
  <si>
    <t>VISTONY 25W60 1/4 API CF-4</t>
  </si>
  <si>
    <t>FA005-303-000001140</t>
  </si>
  <si>
    <t>AUTEKPH500</t>
  </si>
  <si>
    <t>AUTTEK ACEITE PH500 FORD F150 3.3 (18-20), F150 3.5 (11-20), EDGE 3.5 (09-20), ESCAPE 3.0 (11-12), EXPLORER 3.5 (11-19) 15 PSI /SPH10575</t>
  </si>
  <si>
    <t>CL-03417</t>
  </si>
  <si>
    <t>CHOCHO BALARESO ELOY SALVADOR</t>
  </si>
  <si>
    <t>AUTEK4550</t>
  </si>
  <si>
    <t>AUTTEK AIRE 5-87310455-0 CHEVROLET ISUZU NPR NHR NKR LAF1800/ PABS009 /SAMSA6012 / SAKA6012/ HAR4550</t>
  </si>
  <si>
    <t>SAMSPH3903B</t>
  </si>
  <si>
    <t>SAMURY ACEITE SPH3903B MAHINDRA PICK UP 2.2 CRDI (13-18); JAC HFC 1040K, 1045 /C4903 / PH2801 /P550934</t>
  </si>
  <si>
    <t>FA005-302-000007540</t>
  </si>
  <si>
    <t>CL-02930</t>
  </si>
  <si>
    <t>NAULA NAULA ANGEL RIGOBERTO</t>
  </si>
  <si>
    <t>FA005-303-000001141</t>
  </si>
  <si>
    <t>CL-19463</t>
  </si>
  <si>
    <t>FAJARDO CRUZ MIRIAM VIVIANA</t>
  </si>
  <si>
    <t>FA005-303-000001142</t>
  </si>
  <si>
    <t>AGU0003</t>
  </si>
  <si>
    <t>AGUA DE BATERIA GL</t>
  </si>
  <si>
    <t>FA005-302-000007541</t>
  </si>
  <si>
    <t>CLJCEVALL-000001</t>
  </si>
  <si>
    <t>paul andres guaman jimbo</t>
  </si>
  <si>
    <t>ACD0002</t>
  </si>
  <si>
    <t>ACDELCO 15W40 GL</t>
  </si>
  <si>
    <t>FA005-302-000007542</t>
  </si>
  <si>
    <t>ABR0056</t>
  </si>
  <si>
    <t>ABRO CINTA TENFLEX /LUXAR/3M 20 YDS NEGRA</t>
  </si>
  <si>
    <t>codigo_pago</t>
  </si>
  <si>
    <t>factura</t>
  </si>
  <si>
    <t>valor_cobrado</t>
  </si>
  <si>
    <t>fecha_cobranza</t>
  </si>
  <si>
    <t>fecha_expiracion_pago</t>
  </si>
  <si>
    <t>fecha_registro_sistema</t>
  </si>
  <si>
    <t>fecha_entrega</t>
  </si>
  <si>
    <t>fecha_final_despacho</t>
  </si>
  <si>
    <t>documento_pago</t>
  </si>
  <si>
    <t>lote</t>
  </si>
  <si>
    <t>voucher</t>
  </si>
  <si>
    <t>dtf</t>
  </si>
  <si>
    <t>nombre_cliente</t>
  </si>
  <si>
    <t>documento</t>
  </si>
  <si>
    <t>fecha_emision</t>
  </si>
  <si>
    <t>fecha_vencimiento</t>
  </si>
  <si>
    <t>dias_fuera_plazo</t>
  </si>
  <si>
    <t>dias_fuera_plazo_exp</t>
  </si>
  <si>
    <t>codigo_usuario_pago</t>
  </si>
  <si>
    <t>nombre_usuario_pago</t>
  </si>
  <si>
    <t>comentario_pago</t>
  </si>
  <si>
    <t>tipo</t>
  </si>
  <si>
    <t>codigo_usuario_factura</t>
  </si>
  <si>
    <t>nombre_usuario_factura</t>
  </si>
  <si>
    <t>monto_subtotal_factura</t>
  </si>
  <si>
    <t>monto_total_factura</t>
  </si>
  <si>
    <t>PGDMONTES-004481</t>
  </si>
  <si>
    <t>Efectivo</t>
  </si>
  <si>
    <t>PGDMONTES-004482</t>
  </si>
  <si>
    <t>PGDMONTES-004483</t>
  </si>
  <si>
    <t>TRANSFERENCIA</t>
  </si>
  <si>
    <t>Transferencia</t>
  </si>
  <si>
    <t>PGDMONTES-004484</t>
  </si>
  <si>
    <t xml:space="preserve">PADILLA LEON PEDRO </t>
  </si>
  <si>
    <t>PGDMONTES-004485</t>
  </si>
  <si>
    <t>PGDMONTES-004486</t>
  </si>
  <si>
    <t>PGDMONTES-004487</t>
  </si>
  <si>
    <t>PGDMONTES-004488</t>
  </si>
  <si>
    <t>PGDMONTES-004489</t>
  </si>
  <si>
    <t>PGDMONTES-004490</t>
  </si>
  <si>
    <t>PGDMONTES-004491</t>
  </si>
  <si>
    <t>162.0</t>
  </si>
  <si>
    <t>Tarjeta de crédito</t>
  </si>
  <si>
    <t>PGDMONTES-004492</t>
  </si>
  <si>
    <t>PGDMONTES-004493</t>
  </si>
  <si>
    <t>PGDMONTES-004494</t>
  </si>
  <si>
    <t>PGDMONTES-004495</t>
  </si>
  <si>
    <t>PGDMONTES-004496</t>
  </si>
  <si>
    <t>PGDMONTES-004497</t>
  </si>
  <si>
    <t>PGNESPINO-000880</t>
  </si>
  <si>
    <t>pago con transferencia de factura cero dias</t>
  </si>
  <si>
    <t>PGNESPINO-000855</t>
  </si>
  <si>
    <t>PGNESPINO-000856</t>
  </si>
  <si>
    <t>PAGO CON TRANSFERENCIA</t>
  </si>
  <si>
    <t>PGNESPINO-000857</t>
  </si>
  <si>
    <t>PGNESPINO-000858</t>
  </si>
  <si>
    <t>160.0</t>
  </si>
  <si>
    <t>PAGO CON TARJETA CREDITO</t>
  </si>
  <si>
    <t>PGNESPINO-000859</t>
  </si>
  <si>
    <t>161.0</t>
  </si>
  <si>
    <t>PAGO CON TARJETA</t>
  </si>
  <si>
    <t>PGNESPINO-000860</t>
  </si>
  <si>
    <t>PGNESPINO-000861</t>
  </si>
  <si>
    <t>PGNESPINO-000862</t>
  </si>
  <si>
    <t>JM2026JUN00222704870</t>
  </si>
  <si>
    <t>PAOGO CON TRANSFERENCIA</t>
  </si>
  <si>
    <t>PGNESPINO-000863</t>
  </si>
  <si>
    <t>PGNESPINO-000864</t>
  </si>
  <si>
    <t>PGNESPINO-000865</t>
  </si>
  <si>
    <t>PGNESPINO-000866</t>
  </si>
  <si>
    <t>PGNESPINO-000867</t>
  </si>
  <si>
    <t>PGNESPINO-000868</t>
  </si>
  <si>
    <t>PGNESPINO-000869</t>
  </si>
  <si>
    <t>PGNESPINO-000870</t>
  </si>
  <si>
    <t>PGNESPINO-000871</t>
  </si>
  <si>
    <t>PGNESPINO-000872</t>
  </si>
  <si>
    <t>PGNESPINO-000873</t>
  </si>
  <si>
    <t>PGNESPINO-000874</t>
  </si>
  <si>
    <t xml:space="preserve">EDISON ANTONIO LEMA SINCHI </t>
  </si>
  <si>
    <t>PGNESPINO-000875</t>
  </si>
  <si>
    <t xml:space="preserve">MORAN QUINTERO ROBERTO MISAEL </t>
  </si>
  <si>
    <t xml:space="preserve">pago con transferencia </t>
  </si>
  <si>
    <t>PGNESPINO-000876</t>
  </si>
  <si>
    <t>PGNESPINO-000877</t>
  </si>
  <si>
    <t>PGNESPINO-000878</t>
  </si>
  <si>
    <t>PGNESPINO-000879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</si>
</sst>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rgb="FF333333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4" fillId="2" borderId="1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horizontal="right" vertical="center" wrapText="1"/>
    </xf>
    <xf numFmtId="4" fontId="7" fillId="2" borderId="2" xfId="0" applyNumberFormat="1" applyFont="1" applyFill="1" applyBorder="1" applyAlignment="1">
      <alignment horizontal="right" vertical="center" wrapText="1"/>
    </xf>
    <xf numFmtId="0" fontId="8" fillId="2" borderId="0" xfId="0" applyFont="1" applyFill="1" applyAlignment="1">
      <alignment vertical="center" wrapText="1"/>
    </xf>
    <xf numFmtId="0" fontId="1" fillId="2" borderId="1" xfId="0" applyFont="1" applyFill="1" applyBorder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1" xfId="0" applyFont="1" applyFill="1" applyBorder="1" applyAlignment="1">
      <alignment vertical="center"/>
    </xf>
    <xf numFmtId="0" fontId="0" fillId="0" borderId="0" xfId="0" applyAlignment="1"/>
    <xf numFmtId="4" fontId="0" fillId="0" borderId="0" xfId="0" applyNumberFormat="1"/>
    <xf numFmtId="0" fontId="2" fillId="2" borderId="2" xfId="0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right" vertical="center" wrapText="1"/>
    </xf>
    <xf numFmtId="4" fontId="2" fillId="2" borderId="2" xfId="0" applyNumberFormat="1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right" vertical="center" wrapText="1"/>
    </xf>
    <xf numFmtId="0" fontId="5" fillId="2" borderId="2" xfId="0" applyFont="1" applyFill="1" applyBorder="1" applyAlignment="1">
      <alignment vertical="center" wrapText="1"/>
    </xf>
    <xf numFmtId="0" fontId="5" fillId="2" borderId="1" xfId="0" applyFont="1" applyFill="1" applyBorder="1" applyAlignment="1">
      <alignment vertical="center" wrapText="1"/>
    </xf>
    <xf numFmtId="4" fontId="6" fillId="2" borderId="2" xfId="0" applyNumberFormat="1" applyFont="1" applyFill="1" applyBorder="1" applyAlignment="1">
      <alignment horizontal="center" vertical="center" wrapText="1"/>
    </xf>
    <xf numFmtId="4" fontId="6" fillId="2" borderId="1" xfId="0" applyNumberFormat="1" applyFont="1" applyFill="1" applyBorder="1" applyAlignment="1">
      <alignment horizontal="center" vertical="center" wrapText="1"/>
    </xf>
    <xf numFmtId="14" fontId="0" fillId="0" borderId="0" xfId="0" applyNumberFormat="1"/>
  </cellXfs>
  <cellStyles count="1">
    <cellStyle name="Normal" xfId="0" builtinId="0"/>
  </cellStyles>
  <dxfs count="6"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1D7A76D-8241-4412-AB09-61EEB4EACD21}" name="Tabla1" displayName="Tabla1" ref="A1:AC164" totalsRowShown="0">
  <autoFilter ref="A1:AC164" xr:uid="{21D7A76D-8241-4412-AB09-61EEB4EACD21}">
    <filterColumn colId="21">
      <filters>
        <filter val="NESPINOZA"/>
      </filters>
    </filterColumn>
    <filterColumn colId="22">
      <filters>
        <filter val="DAVID FRANCISCO MONTESDEOCA MONTESDEOCA"/>
        <filter val="ESPINOZA YANGUA NEXALY"/>
      </filters>
    </filterColumn>
  </autoFilter>
  <tableColumns count="29">
    <tableColumn id="1" xr3:uid="{961A45AF-9797-4DA4-AE6A-02C225F73C99}" name="id"/>
    <tableColumn id="2" xr3:uid="{3DDF0A1B-0ACF-444A-AD93-B1F73087CC84}" name="numero_factura"/>
    <tableColumn id="3" xr3:uid="{B5065929-7192-4881-881B-88785FB40FF8}" name="fecha_factura" dataDxfId="5"/>
    <tableColumn id="4" xr3:uid="{2067D237-675B-4E8C-B753-90A42BF3D24D}" name="cod_producto"/>
    <tableColumn id="5" xr3:uid="{B6F31086-38D3-4384-894B-4E77C87E73E3}" name="descr_producto"/>
    <tableColumn id="6" xr3:uid="{17A2D1C8-CD3E-40D2-ACF4-E2CBBA2C629F}" name="cod_categoria"/>
    <tableColumn id="7" xr3:uid="{82E08746-9549-43D8-9EBD-9FE87637E203}" name="descr_categoria"/>
    <tableColumn id="8" xr3:uid="{0F542CDB-65DF-43E1-ABA5-1F68E84067DF}" name="cod_marca"/>
    <tableColumn id="9" xr3:uid="{74BE9A39-6EEA-4A80-9F5B-94F01739ACE3}" name="descr_marca"/>
    <tableColumn id="10" xr3:uid="{CB55DA3B-1914-401D-A73E-7ED088DD8017}" name="cod_tipo_inv"/>
    <tableColumn id="11" xr3:uid="{F996684B-8F87-4CE6-B129-7E8AF972C5AD}" name="cantidad"/>
    <tableColumn id="12" xr3:uid="{4EA07B8C-3DBC-46B8-86B5-6C1BAAE76871}" name="precio_unitario"/>
    <tableColumn id="13" xr3:uid="{79942C10-3DFB-482D-B3FC-DDB6EBC01EE7}" name="precio_total"/>
    <tableColumn id="14" xr3:uid="{77FD1BBD-6DF9-489A-A442-63602D6C380F}" name="total_con_iva"/>
    <tableColumn id="15" xr3:uid="{EA41730B-D7CA-4CB2-94E5-86E7F9EA9F58}" name="costo"/>
    <tableColumn id="16" xr3:uid="{D07554F2-679F-4DEC-8D02-1B104D58D903}" name="descuento"/>
    <tableColumn id="17" xr3:uid="{E671FECE-E186-448D-9353-DF2931D5FBC0}" name="descuento_pct"/>
    <tableColumn id="18" xr3:uid="{563C86B3-1434-4950-82A2-FDA268DAFA1A}" name="bodega"/>
    <tableColumn id="19" xr3:uid="{97AF71B4-ECF3-4038-8394-4D8FE54A0DBC}" name="lista_precio"/>
    <tableColumn id="20" xr3:uid="{6E0CC199-60E7-424E-8631-FE4EF27AF68B}" name="termino_pago"/>
    <tableColumn id="21" xr3:uid="{DCD00540-7818-46EF-A1AE-302CB2563BBA}" name="usuario"/>
    <tableColumn id="22" xr3:uid="{821FE6BE-51AD-454E-80E5-7FF0F377016B}" name="codigo_vend"/>
    <tableColumn id="23" xr3:uid="{353C10FD-CFC1-4FBA-8FFF-5F6870C8A92C}" name="nombre_vend"/>
    <tableColumn id="24" xr3:uid="{5CEBF086-174B-4A40-8F17-8C7E102D698F}" name="codigo_cliente"/>
    <tableColumn id="25" xr3:uid="{515E7E9F-8CCC-4C1E-955C-7EF7359FD6BA}" name="ruc_cliente"/>
    <tableColumn id="26" xr3:uid="{18FFD968-B3C8-4362-BE06-C5BF4AA6BEF8}" name="razon_social"/>
    <tableColumn id="27" xr3:uid="{33E5E32A-1E52-4363-BE72-9FFCB2021BCD}" name="grupo_cliente"/>
    <tableColumn id="28" xr3:uid="{44BD406C-1B40-4CAE-8A57-51A87935B2A4}" name="nombre_ciudad"/>
    <tableColumn id="29" xr3:uid="{F0399A95-685E-4BD6-9CA4-5B7C38D0BABA}" name="ruta_documen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AE3B749-B48A-4371-9087-1E81C141099C}" name="Tabla3" displayName="Tabla3" ref="A1:AB44" totalsRowShown="0">
  <autoFilter ref="A1:AB44" xr:uid="{DAE3B749-B48A-4371-9087-1E81C141099C}"/>
  <tableColumns count="28">
    <tableColumn id="1" xr3:uid="{A8049850-447D-4EDA-B216-C6AD58C968CB}" name="id"/>
    <tableColumn id="2" xr3:uid="{E5E19FA4-131F-4367-8188-3F3AD5AECB65}" name="codigo_pago"/>
    <tableColumn id="3" xr3:uid="{DDEE5593-A5A9-45C0-90F9-6EB8B3B99788}" name="factura"/>
    <tableColumn id="4" xr3:uid="{C4667578-4BBA-4CE3-963A-236E2F89D940}" name="valor_cobrado"/>
    <tableColumn id="5" xr3:uid="{6CBCF0DE-C8E3-480F-9DDC-FBCCEA673610}" name="fecha_cobranza" dataDxfId="4"/>
    <tableColumn id="6" xr3:uid="{D35E090F-DA31-499A-87FD-2338AC3E847D}" name="fecha_expiracion_pago" dataDxfId="3"/>
    <tableColumn id="7" xr3:uid="{EB8F1B99-09EF-496B-A04D-EA641162EBED}" name="fecha_registro_sistema" dataDxfId="2"/>
    <tableColumn id="8" xr3:uid="{04A08452-6078-4101-9C4C-F30EB5004F08}" name="fecha_entrega"/>
    <tableColumn id="9" xr3:uid="{A1D74C34-E5CA-4461-BF17-742FB76E97CD}" name="fecha_final_despacho"/>
    <tableColumn id="10" xr3:uid="{D256DA5B-FBE5-4A01-9B1B-FEA4F37F5377}" name="documento_pago"/>
    <tableColumn id="11" xr3:uid="{9934BA5E-3C17-45A0-B24D-76C2894DED51}" name="lote"/>
    <tableColumn id="12" xr3:uid="{23F1F9E3-E2C2-4B38-895E-312455C42414}" name="voucher"/>
    <tableColumn id="13" xr3:uid="{9623F634-299C-4483-B52E-CD050A5CF19F}" name="dtf"/>
    <tableColumn id="14" xr3:uid="{6C80FE0D-C8DD-4EC5-AE96-3E32023A7725}" name="codigo_cliente"/>
    <tableColumn id="15" xr3:uid="{5C892E63-4BC6-4002-88CB-D0975693D221}" name="nombre_cliente"/>
    <tableColumn id="16" xr3:uid="{3655B725-195F-4DB4-96E3-9D28661039B7}" name="documento"/>
    <tableColumn id="17" xr3:uid="{9AAF9FA2-A1D5-4151-A8E0-30B97E03728E}" name="fecha_emision" dataDxfId="1"/>
    <tableColumn id="18" xr3:uid="{9136EC1E-B67B-4052-A025-5D2FECDF1CFE}" name="fecha_vencimiento" dataDxfId="0"/>
    <tableColumn id="19" xr3:uid="{EB8DBB74-AC76-4F33-A4B5-43877F7BCC86}" name="dias_fuera_plazo"/>
    <tableColumn id="20" xr3:uid="{6D2552B5-EC60-4F12-BC39-C72DE5CA2875}" name="dias_fuera_plazo_exp"/>
    <tableColumn id="21" xr3:uid="{2B480354-5A58-4D19-AACE-5832E0ED6EEE}" name="codigo_usuario_pago"/>
    <tableColumn id="22" xr3:uid="{FF901BAD-9CD3-4230-B8B5-E3E98050D8BD}" name="nombre_usuario_pago"/>
    <tableColumn id="23" xr3:uid="{6188E663-39B3-4952-A1EB-17A581BC0662}" name="comentario_pago"/>
    <tableColumn id="24" xr3:uid="{ED21BFF8-C6B7-4E60-8EAA-43965E32FB6A}" name="tipo"/>
    <tableColumn id="25" xr3:uid="{E330E76E-1055-40AC-8A29-763F392FD6CF}" name="codigo_usuario_factura"/>
    <tableColumn id="26" xr3:uid="{71A2BC7C-F471-4118-B711-11E1B9DD0E63}" name="nombre_usuario_factura"/>
    <tableColumn id="27" xr3:uid="{74F59852-8D40-449B-8BA4-A16A8BB94924}" name="monto_subtotal_factura"/>
    <tableColumn id="28" xr3:uid="{A7A66D77-B1EC-4FAD-885E-B32BC5003E3D}" name="monto_total_factur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BEB8F-17E0-4D23-9919-C03F81C11964}">
  <dimension ref="A1:H23"/>
  <sheetViews>
    <sheetView workbookViewId="0">
      <selection activeCell="D20" sqref="D20"/>
    </sheetView>
  </sheetViews>
  <sheetFormatPr baseColWidth="10" defaultRowHeight="15" x14ac:dyDescent="0.25"/>
  <cols>
    <col min="1" max="1" width="2.140625" bestFit="1" customWidth="1"/>
    <col min="2" max="2" width="22.28515625" style="10" customWidth="1"/>
    <col min="5" max="5" width="15.28515625" customWidth="1"/>
    <col min="6" max="6" width="16.85546875" customWidth="1"/>
    <col min="7" max="7" width="15.85546875" customWidth="1"/>
  </cols>
  <sheetData>
    <row r="1" spans="1:8" ht="30.75" thickBot="1" x14ac:dyDescent="0.3">
      <c r="A1" s="1" t="s">
        <v>0</v>
      </c>
      <c r="B1" s="7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12">
        <v>1</v>
      </c>
      <c r="B2" s="8" t="s">
        <v>8</v>
      </c>
      <c r="C2" s="14">
        <v>18645.02</v>
      </c>
      <c r="D2" s="14">
        <v>35000</v>
      </c>
      <c r="E2" s="14">
        <v>1346.15</v>
      </c>
      <c r="F2" s="17" t="s">
        <v>10</v>
      </c>
      <c r="G2" s="19">
        <v>16354.98</v>
      </c>
      <c r="H2" s="12">
        <v>91</v>
      </c>
    </row>
    <row r="3" spans="1:8" ht="15.75" thickBot="1" x14ac:dyDescent="0.3">
      <c r="A3" s="13"/>
      <c r="B3" s="9" t="s">
        <v>9</v>
      </c>
      <c r="C3" s="15"/>
      <c r="D3" s="15"/>
      <c r="E3" s="15"/>
      <c r="F3" s="18"/>
      <c r="G3" s="20"/>
      <c r="H3" s="13"/>
    </row>
    <row r="4" spans="1:8" x14ac:dyDescent="0.25">
      <c r="A4" s="12">
        <v>2</v>
      </c>
      <c r="B4" s="8" t="s">
        <v>11</v>
      </c>
      <c r="C4" s="14">
        <v>18694.810000000001</v>
      </c>
      <c r="D4" s="14">
        <v>55000</v>
      </c>
      <c r="E4" s="14">
        <v>2115.38</v>
      </c>
      <c r="F4" s="17" t="s">
        <v>13</v>
      </c>
      <c r="G4" s="19">
        <v>36305.19</v>
      </c>
      <c r="H4" s="12">
        <v>137</v>
      </c>
    </row>
    <row r="5" spans="1:8" ht="15.75" thickBot="1" x14ac:dyDescent="0.3">
      <c r="A5" s="13"/>
      <c r="B5" s="9" t="s">
        <v>12</v>
      </c>
      <c r="C5" s="15"/>
      <c r="D5" s="15"/>
      <c r="E5" s="15"/>
      <c r="F5" s="18"/>
      <c r="G5" s="20"/>
      <c r="H5" s="13"/>
    </row>
    <row r="6" spans="1:8" ht="15" customHeight="1" x14ac:dyDescent="0.25">
      <c r="A6" s="16" t="s">
        <v>14</v>
      </c>
      <c r="B6" s="16"/>
      <c r="C6" s="5">
        <v>37339.83</v>
      </c>
      <c r="D6" s="5">
        <v>90000</v>
      </c>
      <c r="E6" s="5">
        <v>3461.54</v>
      </c>
      <c r="F6" s="6" t="s">
        <v>15</v>
      </c>
      <c r="G6" s="5">
        <v>52660.17</v>
      </c>
      <c r="H6" s="4">
        <v>228</v>
      </c>
    </row>
    <row r="10" spans="1:8" ht="30.75" thickBot="1" x14ac:dyDescent="0.3">
      <c r="A10" s="1" t="s">
        <v>0</v>
      </c>
      <c r="B10" s="1" t="s">
        <v>1</v>
      </c>
      <c r="C10" s="1" t="s">
        <v>2</v>
      </c>
      <c r="D10" s="1" t="s">
        <v>3</v>
      </c>
      <c r="E10" s="1" t="s">
        <v>4</v>
      </c>
      <c r="F10" s="1" t="s">
        <v>5</v>
      </c>
      <c r="G10" s="1" t="s">
        <v>6</v>
      </c>
      <c r="H10" s="1" t="s">
        <v>7</v>
      </c>
    </row>
    <row r="11" spans="1:8" x14ac:dyDescent="0.25">
      <c r="A11" s="12">
        <v>1</v>
      </c>
      <c r="B11" s="2" t="s">
        <v>8</v>
      </c>
      <c r="C11" s="14">
        <v>42762.94</v>
      </c>
      <c r="D11" s="14">
        <v>40000</v>
      </c>
      <c r="E11" s="14">
        <v>1538.46</v>
      </c>
      <c r="F11" s="17" t="s">
        <v>16</v>
      </c>
      <c r="G11" s="19">
        <v>2762.94</v>
      </c>
      <c r="H11" s="12">
        <v>1201</v>
      </c>
    </row>
    <row r="12" spans="1:8" ht="15.75" thickBot="1" x14ac:dyDescent="0.3">
      <c r="A12" s="13"/>
      <c r="B12" s="3" t="s">
        <v>9</v>
      </c>
      <c r="C12" s="15"/>
      <c r="D12" s="15"/>
      <c r="E12" s="15"/>
      <c r="F12" s="18"/>
      <c r="G12" s="20"/>
      <c r="H12" s="13"/>
    </row>
    <row r="13" spans="1:8" x14ac:dyDescent="0.25">
      <c r="A13" s="12">
        <v>2</v>
      </c>
      <c r="B13" s="2" t="s">
        <v>11</v>
      </c>
      <c r="C13" s="14">
        <v>27473</v>
      </c>
      <c r="D13" s="14">
        <v>30000</v>
      </c>
      <c r="E13" s="14">
        <v>1153.8499999999999</v>
      </c>
      <c r="F13" s="17" t="s">
        <v>17</v>
      </c>
      <c r="G13" s="19">
        <v>2527</v>
      </c>
      <c r="H13" s="12">
        <v>1072</v>
      </c>
    </row>
    <row r="14" spans="1:8" ht="15.75" thickBot="1" x14ac:dyDescent="0.3">
      <c r="A14" s="13"/>
      <c r="B14" s="3" t="s">
        <v>12</v>
      </c>
      <c r="C14" s="15"/>
      <c r="D14" s="15"/>
      <c r="E14" s="15"/>
      <c r="F14" s="18"/>
      <c r="G14" s="20"/>
      <c r="H14" s="13"/>
    </row>
    <row r="15" spans="1:8" ht="15" customHeight="1" x14ac:dyDescent="0.25">
      <c r="A15" s="16" t="s">
        <v>14</v>
      </c>
      <c r="B15" s="16"/>
      <c r="C15" s="5">
        <v>70235.94</v>
      </c>
      <c r="D15" s="5">
        <v>70000</v>
      </c>
      <c r="E15" s="5">
        <v>2692.31</v>
      </c>
      <c r="F15" s="6" t="s">
        <v>18</v>
      </c>
      <c r="G15" s="4">
        <v>235.94</v>
      </c>
      <c r="H15" s="4">
        <v>2273</v>
      </c>
    </row>
    <row r="19" spans="1:8" ht="30.75" thickBot="1" x14ac:dyDescent="0.3">
      <c r="A19" s="1" t="s">
        <v>0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</row>
    <row r="20" spans="1:8" x14ac:dyDescent="0.25">
      <c r="A20" s="12">
        <v>1</v>
      </c>
      <c r="B20" s="2" t="s">
        <v>8</v>
      </c>
      <c r="C20" s="11">
        <f>C11+C2</f>
        <v>61407.960000000006</v>
      </c>
      <c r="D20" s="11">
        <f>D11+D2</f>
        <v>75000</v>
      </c>
      <c r="E20" s="11">
        <f>E11+E2</f>
        <v>2884.61</v>
      </c>
      <c r="F20" s="11"/>
      <c r="G20" s="11">
        <f t="shared" ref="G20:H20" si="0">G11+G2</f>
        <v>19117.919999999998</v>
      </c>
      <c r="H20" s="11">
        <f t="shared" si="0"/>
        <v>1292</v>
      </c>
    </row>
    <row r="21" spans="1:8" ht="15.75" thickBot="1" x14ac:dyDescent="0.3">
      <c r="A21" s="13"/>
      <c r="B21" s="3" t="s">
        <v>9</v>
      </c>
      <c r="C21" s="11"/>
      <c r="D21" s="11"/>
    </row>
    <row r="22" spans="1:8" x14ac:dyDescent="0.25">
      <c r="A22" s="12">
        <v>2</v>
      </c>
      <c r="B22" s="2" t="s">
        <v>11</v>
      </c>
      <c r="C22" s="11">
        <f>C13+C4</f>
        <v>46167.81</v>
      </c>
      <c r="D22" s="11">
        <f t="shared" ref="D22:H22" si="1">D13+D4</f>
        <v>85000</v>
      </c>
      <c r="E22" s="11">
        <f t="shared" si="1"/>
        <v>3269.23</v>
      </c>
      <c r="F22" s="11"/>
      <c r="G22" s="11">
        <f t="shared" si="1"/>
        <v>38832.19</v>
      </c>
      <c r="H22" s="11">
        <f t="shared" si="1"/>
        <v>1209</v>
      </c>
    </row>
    <row r="23" spans="1:8" ht="15.75" thickBot="1" x14ac:dyDescent="0.3">
      <c r="A23" s="13"/>
      <c r="B23" s="3" t="s">
        <v>12</v>
      </c>
      <c r="C23" s="11"/>
    </row>
  </sheetData>
  <mergeCells count="32">
    <mergeCell ref="H2:H3"/>
    <mergeCell ref="A4:A5"/>
    <mergeCell ref="C4:C5"/>
    <mergeCell ref="D4:D5"/>
    <mergeCell ref="E4:E5"/>
    <mergeCell ref="F4:F5"/>
    <mergeCell ref="G4:G5"/>
    <mergeCell ref="H4:H5"/>
    <mergeCell ref="A2:A3"/>
    <mergeCell ref="C2:C3"/>
    <mergeCell ref="D2:D3"/>
    <mergeCell ref="E2:E3"/>
    <mergeCell ref="F2:F3"/>
    <mergeCell ref="G2:G3"/>
    <mergeCell ref="A6:B6"/>
    <mergeCell ref="D11:D12"/>
    <mergeCell ref="E11:E12"/>
    <mergeCell ref="F11:F12"/>
    <mergeCell ref="G11:G12"/>
    <mergeCell ref="H11:H12"/>
    <mergeCell ref="D13:D14"/>
    <mergeCell ref="E13:E14"/>
    <mergeCell ref="F13:F14"/>
    <mergeCell ref="G13:G14"/>
    <mergeCell ref="H13:H14"/>
    <mergeCell ref="A20:A21"/>
    <mergeCell ref="A22:A23"/>
    <mergeCell ref="A11:A12"/>
    <mergeCell ref="C11:C12"/>
    <mergeCell ref="A13:A14"/>
    <mergeCell ref="C13:C14"/>
    <mergeCell ref="A15:B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278AF-E29E-4EC2-ACB1-054B90910172}">
  <dimension ref="A1:AC164"/>
  <sheetViews>
    <sheetView topLeftCell="J112" workbookViewId="0">
      <selection activeCell="M34" sqref="M34:M164"/>
    </sheetView>
  </sheetViews>
  <sheetFormatPr baseColWidth="10" defaultRowHeight="15" x14ac:dyDescent="0.25"/>
  <cols>
    <col min="2" max="2" width="17.28515625" customWidth="1"/>
    <col min="3" max="3" width="15.140625" customWidth="1"/>
    <col min="4" max="4" width="15.28515625" customWidth="1"/>
    <col min="5" max="5" width="16.85546875" customWidth="1"/>
    <col min="6" max="6" width="15.42578125" customWidth="1"/>
    <col min="7" max="7" width="17" customWidth="1"/>
    <col min="8" max="8" width="12.5703125" customWidth="1"/>
    <col min="9" max="9" width="14.140625" customWidth="1"/>
    <col min="10" max="10" width="14.5703125" customWidth="1"/>
    <col min="12" max="12" width="16.7109375" customWidth="1"/>
    <col min="13" max="13" width="13.85546875" customWidth="1"/>
    <col min="14" max="14" width="15" customWidth="1"/>
    <col min="16" max="16" width="12.42578125" customWidth="1"/>
    <col min="17" max="17" width="16.140625" customWidth="1"/>
    <col min="19" max="19" width="13.42578125" customWidth="1"/>
    <col min="20" max="20" width="15.5703125" customWidth="1"/>
    <col min="22" max="22" width="14.42578125" customWidth="1"/>
    <col min="23" max="23" width="15.5703125" customWidth="1"/>
    <col min="24" max="24" width="16.140625" customWidth="1"/>
    <col min="25" max="25" width="13" customWidth="1"/>
    <col min="26" max="26" width="14" customWidth="1"/>
    <col min="27" max="27" width="15.42578125" customWidth="1"/>
    <col min="28" max="28" width="17" customWidth="1"/>
    <col min="29" max="29" width="17.85546875" customWidth="1"/>
  </cols>
  <sheetData>
    <row r="1" spans="1:29" x14ac:dyDescent="0.25">
      <c r="A1" t="s">
        <v>19</v>
      </c>
      <c r="B1" t="s">
        <v>20</v>
      </c>
      <c r="C1" t="s">
        <v>21</v>
      </c>
      <c r="D1" t="s">
        <v>22</v>
      </c>
      <c r="E1" t="s">
        <v>23</v>
      </c>
      <c r="F1" t="s">
        <v>24</v>
      </c>
      <c r="G1" t="s">
        <v>25</v>
      </c>
      <c r="H1" t="s">
        <v>26</v>
      </c>
      <c r="I1" t="s">
        <v>27</v>
      </c>
      <c r="J1" t="s">
        <v>28</v>
      </c>
      <c r="K1" t="s">
        <v>29</v>
      </c>
      <c r="L1" t="s">
        <v>30</v>
      </c>
      <c r="M1" t="s">
        <v>31</v>
      </c>
      <c r="N1" t="s">
        <v>32</v>
      </c>
      <c r="O1" t="s">
        <v>33</v>
      </c>
      <c r="P1" t="s">
        <v>34</v>
      </c>
      <c r="Q1" t="s">
        <v>35</v>
      </c>
      <c r="R1" t="s">
        <v>36</v>
      </c>
      <c r="S1" t="s">
        <v>37</v>
      </c>
      <c r="T1" t="s">
        <v>38</v>
      </c>
      <c r="U1" t="s">
        <v>39</v>
      </c>
      <c r="V1" t="s">
        <v>40</v>
      </c>
      <c r="W1" t="s">
        <v>41</v>
      </c>
      <c r="X1" t="s">
        <v>42</v>
      </c>
      <c r="Y1" t="s">
        <v>43</v>
      </c>
      <c r="Z1" t="s">
        <v>44</v>
      </c>
      <c r="AA1" t="s">
        <v>45</v>
      </c>
      <c r="AB1" t="s">
        <v>46</v>
      </c>
      <c r="AC1" t="s">
        <v>47</v>
      </c>
    </row>
    <row r="2" spans="1:29" hidden="1" x14ac:dyDescent="0.25">
      <c r="A2">
        <v>190140</v>
      </c>
      <c r="B2" t="s">
        <v>48</v>
      </c>
      <c r="C2" s="21">
        <v>46190</v>
      </c>
      <c r="D2" t="s">
        <v>49</v>
      </c>
      <c r="E2" t="s">
        <v>50</v>
      </c>
      <c r="F2" t="s">
        <v>51</v>
      </c>
      <c r="G2" t="s">
        <v>51</v>
      </c>
      <c r="H2" t="s">
        <v>52</v>
      </c>
      <c r="I2" t="s">
        <v>52</v>
      </c>
      <c r="J2" t="s">
        <v>53</v>
      </c>
      <c r="K2">
        <v>4</v>
      </c>
      <c r="L2">
        <v>23.8</v>
      </c>
      <c r="M2">
        <v>85.68</v>
      </c>
      <c r="N2">
        <v>98.53</v>
      </c>
      <c r="O2">
        <v>15.05</v>
      </c>
      <c r="P2">
        <v>9.52</v>
      </c>
      <c r="Q2">
        <v>10</v>
      </c>
      <c r="R2" t="s">
        <v>9</v>
      </c>
      <c r="S2" t="s">
        <v>54</v>
      </c>
      <c r="T2" t="s">
        <v>55</v>
      </c>
      <c r="U2" t="s">
        <v>56</v>
      </c>
      <c r="V2" t="s">
        <v>56</v>
      </c>
      <c r="W2" t="s">
        <v>57</v>
      </c>
      <c r="X2" t="s">
        <v>58</v>
      </c>
      <c r="Y2">
        <v>106126147001</v>
      </c>
      <c r="Z2" t="s">
        <v>59</v>
      </c>
      <c r="AA2" t="s">
        <v>60</v>
      </c>
      <c r="AB2" t="s">
        <v>61</v>
      </c>
      <c r="AC2" t="s">
        <v>62</v>
      </c>
    </row>
    <row r="3" spans="1:29" hidden="1" x14ac:dyDescent="0.25">
      <c r="A3">
        <v>190141</v>
      </c>
      <c r="B3" t="s">
        <v>48</v>
      </c>
      <c r="C3" s="21">
        <v>46190</v>
      </c>
      <c r="D3" t="s">
        <v>63</v>
      </c>
      <c r="E3" t="s">
        <v>64</v>
      </c>
      <c r="F3" t="s">
        <v>65</v>
      </c>
      <c r="G3" t="s">
        <v>65</v>
      </c>
      <c r="H3" t="s">
        <v>65</v>
      </c>
      <c r="I3" t="s">
        <v>65</v>
      </c>
      <c r="J3" t="s">
        <v>53</v>
      </c>
      <c r="K3">
        <v>4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 t="s">
        <v>9</v>
      </c>
      <c r="S3" t="s">
        <v>54</v>
      </c>
      <c r="T3" t="s">
        <v>55</v>
      </c>
      <c r="U3" t="s">
        <v>56</v>
      </c>
      <c r="V3" t="s">
        <v>56</v>
      </c>
      <c r="W3" t="s">
        <v>57</v>
      </c>
      <c r="X3" t="s">
        <v>58</v>
      </c>
      <c r="Y3">
        <v>106126147001</v>
      </c>
      <c r="Z3" t="s">
        <v>59</v>
      </c>
      <c r="AA3" t="s">
        <v>60</v>
      </c>
      <c r="AB3" t="s">
        <v>61</v>
      </c>
      <c r="AC3" t="s">
        <v>62</v>
      </c>
    </row>
    <row r="4" spans="1:29" hidden="1" x14ac:dyDescent="0.25">
      <c r="A4">
        <v>190142</v>
      </c>
      <c r="B4" t="s">
        <v>48</v>
      </c>
      <c r="C4" s="21">
        <v>46190</v>
      </c>
      <c r="D4" t="s">
        <v>66</v>
      </c>
      <c r="E4" t="s">
        <v>67</v>
      </c>
      <c r="F4" t="s">
        <v>68</v>
      </c>
      <c r="G4" t="s">
        <v>68</v>
      </c>
      <c r="H4" t="s">
        <v>69</v>
      </c>
      <c r="I4" t="s">
        <v>70</v>
      </c>
      <c r="J4" t="s">
        <v>71</v>
      </c>
      <c r="K4">
        <v>1</v>
      </c>
      <c r="L4">
        <v>1.4</v>
      </c>
      <c r="M4">
        <v>0</v>
      </c>
      <c r="N4">
        <v>0</v>
      </c>
      <c r="O4">
        <v>0.92</v>
      </c>
      <c r="P4">
        <v>1.4</v>
      </c>
      <c r="Q4">
        <v>100</v>
      </c>
      <c r="R4" t="s">
        <v>9</v>
      </c>
      <c r="S4" t="s">
        <v>54</v>
      </c>
      <c r="T4" t="s">
        <v>55</v>
      </c>
      <c r="U4" t="s">
        <v>56</v>
      </c>
      <c r="V4" t="s">
        <v>56</v>
      </c>
      <c r="W4" t="s">
        <v>57</v>
      </c>
      <c r="X4" t="s">
        <v>58</v>
      </c>
      <c r="Y4">
        <v>106126147001</v>
      </c>
      <c r="Z4" t="s">
        <v>59</v>
      </c>
      <c r="AA4" t="s">
        <v>60</v>
      </c>
      <c r="AB4" t="s">
        <v>61</v>
      </c>
      <c r="AC4" t="s">
        <v>62</v>
      </c>
    </row>
    <row r="5" spans="1:29" hidden="1" x14ac:dyDescent="0.25">
      <c r="A5">
        <v>190143</v>
      </c>
      <c r="B5" t="s">
        <v>48</v>
      </c>
      <c r="C5" s="21">
        <v>46190</v>
      </c>
      <c r="D5" t="s">
        <v>72</v>
      </c>
      <c r="E5" t="s">
        <v>73</v>
      </c>
      <c r="F5" t="s">
        <v>68</v>
      </c>
      <c r="G5" t="s">
        <v>68</v>
      </c>
      <c r="H5" t="s">
        <v>69</v>
      </c>
      <c r="I5" t="s">
        <v>70</v>
      </c>
      <c r="J5" t="s">
        <v>71</v>
      </c>
      <c r="K5">
        <v>2</v>
      </c>
      <c r="L5">
        <v>1.4</v>
      </c>
      <c r="M5">
        <v>0</v>
      </c>
      <c r="N5">
        <v>0</v>
      </c>
      <c r="O5">
        <v>1</v>
      </c>
      <c r="P5">
        <v>2.8</v>
      </c>
      <c r="Q5">
        <v>100</v>
      </c>
      <c r="R5" t="s">
        <v>9</v>
      </c>
      <c r="S5" t="s">
        <v>54</v>
      </c>
      <c r="T5" t="s">
        <v>55</v>
      </c>
      <c r="U5" t="s">
        <v>56</v>
      </c>
      <c r="V5" t="s">
        <v>56</v>
      </c>
      <c r="W5" t="s">
        <v>57</v>
      </c>
      <c r="X5" t="s">
        <v>58</v>
      </c>
      <c r="Y5">
        <v>106126147001</v>
      </c>
      <c r="Z5" t="s">
        <v>59</v>
      </c>
      <c r="AA5" t="s">
        <v>60</v>
      </c>
      <c r="AB5" t="s">
        <v>61</v>
      </c>
      <c r="AC5" t="s">
        <v>62</v>
      </c>
    </row>
    <row r="6" spans="1:29" hidden="1" x14ac:dyDescent="0.25">
      <c r="A6">
        <v>190144</v>
      </c>
      <c r="B6" t="s">
        <v>48</v>
      </c>
      <c r="C6" s="21">
        <v>46190</v>
      </c>
      <c r="D6" t="s">
        <v>74</v>
      </c>
      <c r="E6" t="s">
        <v>75</v>
      </c>
      <c r="F6" t="s">
        <v>68</v>
      </c>
      <c r="G6" t="s">
        <v>68</v>
      </c>
      <c r="H6" t="s">
        <v>69</v>
      </c>
      <c r="I6" t="s">
        <v>70</v>
      </c>
      <c r="J6" t="s">
        <v>71</v>
      </c>
      <c r="K6">
        <v>1</v>
      </c>
      <c r="L6">
        <v>1.4</v>
      </c>
      <c r="M6">
        <v>0</v>
      </c>
      <c r="N6">
        <v>0</v>
      </c>
      <c r="O6">
        <v>0.92</v>
      </c>
      <c r="P6">
        <v>1.4</v>
      </c>
      <c r="Q6">
        <v>100</v>
      </c>
      <c r="R6" t="s">
        <v>9</v>
      </c>
      <c r="S6" t="s">
        <v>54</v>
      </c>
      <c r="T6" t="s">
        <v>55</v>
      </c>
      <c r="U6" t="s">
        <v>56</v>
      </c>
      <c r="V6" t="s">
        <v>56</v>
      </c>
      <c r="W6" t="s">
        <v>57</v>
      </c>
      <c r="X6" t="s">
        <v>58</v>
      </c>
      <c r="Y6">
        <v>106126147001</v>
      </c>
      <c r="Z6" t="s">
        <v>59</v>
      </c>
      <c r="AA6" t="s">
        <v>60</v>
      </c>
      <c r="AB6" t="s">
        <v>61</v>
      </c>
      <c r="AC6" t="s">
        <v>62</v>
      </c>
    </row>
    <row r="7" spans="1:29" hidden="1" x14ac:dyDescent="0.25">
      <c r="A7">
        <v>190145</v>
      </c>
      <c r="B7" t="s">
        <v>48</v>
      </c>
      <c r="C7" s="21">
        <v>46190</v>
      </c>
      <c r="D7" t="s">
        <v>76</v>
      </c>
      <c r="E7" t="s">
        <v>77</v>
      </c>
      <c r="F7" t="s">
        <v>78</v>
      </c>
      <c r="G7" t="s">
        <v>78</v>
      </c>
      <c r="H7" t="s">
        <v>79</v>
      </c>
      <c r="I7" t="s">
        <v>79</v>
      </c>
      <c r="K7">
        <v>20</v>
      </c>
      <c r="L7">
        <v>0.01</v>
      </c>
      <c r="M7">
        <v>0.23</v>
      </c>
      <c r="N7">
        <v>0.27</v>
      </c>
      <c r="O7">
        <v>0.01</v>
      </c>
      <c r="P7">
        <v>0</v>
      </c>
      <c r="Q7">
        <v>0</v>
      </c>
      <c r="R7" t="s">
        <v>9</v>
      </c>
      <c r="S7" t="s">
        <v>54</v>
      </c>
      <c r="T7" t="s">
        <v>55</v>
      </c>
      <c r="U7" t="s">
        <v>56</v>
      </c>
      <c r="V7" t="s">
        <v>56</v>
      </c>
      <c r="W7" t="s">
        <v>57</v>
      </c>
      <c r="X7" t="s">
        <v>58</v>
      </c>
      <c r="Y7">
        <v>106126147001</v>
      </c>
      <c r="Z7" t="s">
        <v>59</v>
      </c>
      <c r="AA7" t="s">
        <v>60</v>
      </c>
      <c r="AB7" t="s">
        <v>61</v>
      </c>
      <c r="AC7" t="s">
        <v>62</v>
      </c>
    </row>
    <row r="8" spans="1:29" hidden="1" x14ac:dyDescent="0.25">
      <c r="A8">
        <v>190146</v>
      </c>
      <c r="B8" t="s">
        <v>48</v>
      </c>
      <c r="C8" s="21">
        <v>46190</v>
      </c>
      <c r="D8" t="s">
        <v>76</v>
      </c>
      <c r="E8" t="s">
        <v>77</v>
      </c>
      <c r="F8" t="s">
        <v>78</v>
      </c>
      <c r="G8" t="s">
        <v>78</v>
      </c>
      <c r="H8" t="s">
        <v>79</v>
      </c>
      <c r="I8" t="s">
        <v>79</v>
      </c>
      <c r="K8">
        <v>16</v>
      </c>
      <c r="L8">
        <v>0.01</v>
      </c>
      <c r="M8">
        <v>0.19</v>
      </c>
      <c r="N8">
        <v>0.21</v>
      </c>
      <c r="O8">
        <v>0.01</v>
      </c>
      <c r="P8">
        <v>0</v>
      </c>
      <c r="Q8">
        <v>0</v>
      </c>
      <c r="R8" t="s">
        <v>9</v>
      </c>
      <c r="S8" t="s">
        <v>54</v>
      </c>
      <c r="T8" t="s">
        <v>55</v>
      </c>
      <c r="U8" t="s">
        <v>56</v>
      </c>
      <c r="V8" t="s">
        <v>56</v>
      </c>
      <c r="W8" t="s">
        <v>57</v>
      </c>
      <c r="X8" t="s">
        <v>58</v>
      </c>
      <c r="Y8">
        <v>106126147001</v>
      </c>
      <c r="Z8" t="s">
        <v>59</v>
      </c>
      <c r="AA8" t="s">
        <v>60</v>
      </c>
      <c r="AB8" t="s">
        <v>61</v>
      </c>
      <c r="AC8" t="s">
        <v>62</v>
      </c>
    </row>
    <row r="9" spans="1:29" hidden="1" x14ac:dyDescent="0.25">
      <c r="A9">
        <v>190147</v>
      </c>
      <c r="B9" t="s">
        <v>48</v>
      </c>
      <c r="C9" s="21">
        <v>46190</v>
      </c>
      <c r="D9" t="s">
        <v>80</v>
      </c>
      <c r="E9" t="s">
        <v>81</v>
      </c>
      <c r="F9" t="s">
        <v>51</v>
      </c>
      <c r="G9" t="s">
        <v>51</v>
      </c>
      <c r="H9" t="s">
        <v>82</v>
      </c>
      <c r="I9" t="s">
        <v>82</v>
      </c>
      <c r="J9" t="s">
        <v>83</v>
      </c>
      <c r="K9">
        <v>1</v>
      </c>
      <c r="L9">
        <v>60.59</v>
      </c>
      <c r="M9">
        <v>57.56</v>
      </c>
      <c r="N9">
        <v>66.19</v>
      </c>
      <c r="O9">
        <v>41.72</v>
      </c>
      <c r="P9">
        <v>3.03</v>
      </c>
      <c r="Q9">
        <v>5</v>
      </c>
      <c r="R9" t="s">
        <v>9</v>
      </c>
      <c r="S9" t="s">
        <v>54</v>
      </c>
      <c r="T9" t="s">
        <v>55</v>
      </c>
      <c r="U9" t="s">
        <v>56</v>
      </c>
      <c r="V9" t="s">
        <v>56</v>
      </c>
      <c r="W9" t="s">
        <v>57</v>
      </c>
      <c r="X9" t="s">
        <v>58</v>
      </c>
      <c r="Y9">
        <v>106126147001</v>
      </c>
      <c r="Z9" t="s">
        <v>59</v>
      </c>
      <c r="AA9" t="s">
        <v>60</v>
      </c>
      <c r="AB9" t="s">
        <v>61</v>
      </c>
      <c r="AC9" t="s">
        <v>62</v>
      </c>
    </row>
    <row r="10" spans="1:29" hidden="1" x14ac:dyDescent="0.25">
      <c r="A10">
        <v>190148</v>
      </c>
      <c r="B10" t="s">
        <v>48</v>
      </c>
      <c r="C10" s="21">
        <v>46190</v>
      </c>
      <c r="D10" t="s">
        <v>84</v>
      </c>
      <c r="E10" t="s">
        <v>85</v>
      </c>
      <c r="F10" t="s">
        <v>65</v>
      </c>
      <c r="G10" t="s">
        <v>65</v>
      </c>
      <c r="H10" t="s">
        <v>52</v>
      </c>
      <c r="I10" t="s">
        <v>52</v>
      </c>
      <c r="J10" t="s">
        <v>53</v>
      </c>
      <c r="K10">
        <v>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 t="s">
        <v>9</v>
      </c>
      <c r="S10" t="s">
        <v>54</v>
      </c>
      <c r="T10" t="s">
        <v>55</v>
      </c>
      <c r="U10" t="s">
        <v>56</v>
      </c>
      <c r="V10" t="s">
        <v>56</v>
      </c>
      <c r="W10" t="s">
        <v>57</v>
      </c>
      <c r="X10" t="s">
        <v>58</v>
      </c>
      <c r="Y10">
        <v>106126147001</v>
      </c>
      <c r="Z10" t="s">
        <v>59</v>
      </c>
      <c r="AA10" t="s">
        <v>60</v>
      </c>
      <c r="AB10" t="s">
        <v>61</v>
      </c>
      <c r="AC10" t="s">
        <v>62</v>
      </c>
    </row>
    <row r="11" spans="1:29" hidden="1" x14ac:dyDescent="0.25">
      <c r="A11">
        <v>190149</v>
      </c>
      <c r="B11" t="s">
        <v>86</v>
      </c>
      <c r="C11" s="21">
        <v>46190</v>
      </c>
      <c r="D11" t="s">
        <v>87</v>
      </c>
      <c r="E11" t="s">
        <v>88</v>
      </c>
      <c r="F11" t="s">
        <v>89</v>
      </c>
      <c r="G11" t="s">
        <v>89</v>
      </c>
      <c r="H11" t="s">
        <v>69</v>
      </c>
      <c r="I11" t="s">
        <v>70</v>
      </c>
      <c r="J11" t="s">
        <v>71</v>
      </c>
      <c r="K11">
        <v>12</v>
      </c>
      <c r="L11">
        <v>1.48</v>
      </c>
      <c r="M11">
        <v>17.760000000000002</v>
      </c>
      <c r="N11">
        <v>20.420000000000002</v>
      </c>
      <c r="O11">
        <v>1.78</v>
      </c>
      <c r="P11">
        <v>0</v>
      </c>
      <c r="Q11">
        <v>0</v>
      </c>
      <c r="R11" t="s">
        <v>9</v>
      </c>
      <c r="S11" t="s">
        <v>54</v>
      </c>
      <c r="T11" t="s">
        <v>55</v>
      </c>
      <c r="U11" t="s">
        <v>56</v>
      </c>
      <c r="V11" t="s">
        <v>56</v>
      </c>
      <c r="W11" t="s">
        <v>57</v>
      </c>
      <c r="X11" t="s">
        <v>90</v>
      </c>
      <c r="Y11">
        <v>104068101001</v>
      </c>
      <c r="Z11" t="s">
        <v>91</v>
      </c>
      <c r="AA11" t="s">
        <v>60</v>
      </c>
      <c r="AB11" t="s">
        <v>61</v>
      </c>
      <c r="AC11" t="s">
        <v>62</v>
      </c>
    </row>
    <row r="12" spans="1:29" hidden="1" x14ac:dyDescent="0.25">
      <c r="A12">
        <v>190150</v>
      </c>
      <c r="B12" t="s">
        <v>86</v>
      </c>
      <c r="C12" s="21">
        <v>46190</v>
      </c>
      <c r="D12" t="s">
        <v>87</v>
      </c>
      <c r="E12" t="s">
        <v>88</v>
      </c>
      <c r="F12" t="s">
        <v>89</v>
      </c>
      <c r="G12" t="s">
        <v>89</v>
      </c>
      <c r="H12" t="s">
        <v>69</v>
      </c>
      <c r="I12" t="s">
        <v>70</v>
      </c>
      <c r="J12" t="s">
        <v>71</v>
      </c>
      <c r="K12">
        <v>1</v>
      </c>
      <c r="L12">
        <v>1.48</v>
      </c>
      <c r="M12">
        <v>0</v>
      </c>
      <c r="N12">
        <v>0</v>
      </c>
      <c r="O12">
        <v>1.78</v>
      </c>
      <c r="P12">
        <v>1.48</v>
      </c>
      <c r="Q12">
        <v>100</v>
      </c>
      <c r="R12" t="s">
        <v>9</v>
      </c>
      <c r="S12" t="s">
        <v>54</v>
      </c>
      <c r="T12" t="s">
        <v>55</v>
      </c>
      <c r="U12" t="s">
        <v>56</v>
      </c>
      <c r="V12" t="s">
        <v>56</v>
      </c>
      <c r="W12" t="s">
        <v>57</v>
      </c>
      <c r="X12" t="s">
        <v>90</v>
      </c>
      <c r="Y12">
        <v>104068101001</v>
      </c>
      <c r="Z12" t="s">
        <v>91</v>
      </c>
      <c r="AA12" t="s">
        <v>60</v>
      </c>
      <c r="AB12" t="s">
        <v>61</v>
      </c>
      <c r="AC12" t="s">
        <v>62</v>
      </c>
    </row>
    <row r="13" spans="1:29" hidden="1" x14ac:dyDescent="0.25">
      <c r="A13">
        <v>190151</v>
      </c>
      <c r="B13" t="s">
        <v>86</v>
      </c>
      <c r="C13" s="21">
        <v>46190</v>
      </c>
      <c r="D13" t="s">
        <v>92</v>
      </c>
      <c r="E13" t="s">
        <v>93</v>
      </c>
      <c r="F13" t="s">
        <v>94</v>
      </c>
      <c r="G13" t="s">
        <v>94</v>
      </c>
      <c r="H13" t="s">
        <v>95</v>
      </c>
      <c r="I13" t="s">
        <v>95</v>
      </c>
      <c r="J13" t="s">
        <v>71</v>
      </c>
      <c r="K13">
        <v>12</v>
      </c>
      <c r="L13">
        <v>2.67</v>
      </c>
      <c r="M13">
        <v>32.03</v>
      </c>
      <c r="N13">
        <v>36.840000000000003</v>
      </c>
      <c r="O13">
        <v>1.79</v>
      </c>
      <c r="P13">
        <v>0</v>
      </c>
      <c r="Q13">
        <v>0</v>
      </c>
      <c r="R13" t="s">
        <v>9</v>
      </c>
      <c r="S13" t="s">
        <v>54</v>
      </c>
      <c r="T13" t="s">
        <v>55</v>
      </c>
      <c r="U13" t="s">
        <v>56</v>
      </c>
      <c r="V13" t="s">
        <v>56</v>
      </c>
      <c r="W13" t="s">
        <v>57</v>
      </c>
      <c r="X13" t="s">
        <v>90</v>
      </c>
      <c r="Y13">
        <v>104068101001</v>
      </c>
      <c r="Z13" t="s">
        <v>91</v>
      </c>
      <c r="AA13" t="s">
        <v>60</v>
      </c>
      <c r="AB13" t="s">
        <v>61</v>
      </c>
      <c r="AC13" t="s">
        <v>62</v>
      </c>
    </row>
    <row r="14" spans="1:29" hidden="1" x14ac:dyDescent="0.25">
      <c r="A14">
        <v>190152</v>
      </c>
      <c r="B14" t="s">
        <v>86</v>
      </c>
      <c r="C14" s="21">
        <v>46190</v>
      </c>
      <c r="D14" t="s">
        <v>92</v>
      </c>
      <c r="E14" t="s">
        <v>93</v>
      </c>
      <c r="F14" t="s">
        <v>94</v>
      </c>
      <c r="G14" t="s">
        <v>94</v>
      </c>
      <c r="H14" t="s">
        <v>95</v>
      </c>
      <c r="I14" t="s">
        <v>95</v>
      </c>
      <c r="J14" t="s">
        <v>71</v>
      </c>
      <c r="K14">
        <v>1</v>
      </c>
      <c r="L14">
        <v>2.67</v>
      </c>
      <c r="M14">
        <v>0</v>
      </c>
      <c r="N14">
        <v>0</v>
      </c>
      <c r="O14">
        <v>1.79</v>
      </c>
      <c r="P14">
        <v>2.67</v>
      </c>
      <c r="Q14">
        <v>100</v>
      </c>
      <c r="R14" t="s">
        <v>9</v>
      </c>
      <c r="S14" t="s">
        <v>54</v>
      </c>
      <c r="T14" t="s">
        <v>55</v>
      </c>
      <c r="U14" t="s">
        <v>56</v>
      </c>
      <c r="V14" t="s">
        <v>56</v>
      </c>
      <c r="W14" t="s">
        <v>57</v>
      </c>
      <c r="X14" t="s">
        <v>90</v>
      </c>
      <c r="Y14">
        <v>104068101001</v>
      </c>
      <c r="Z14" t="s">
        <v>91</v>
      </c>
      <c r="AA14" t="s">
        <v>60</v>
      </c>
      <c r="AB14" t="s">
        <v>61</v>
      </c>
      <c r="AC14" t="s">
        <v>62</v>
      </c>
    </row>
    <row r="15" spans="1:29" hidden="1" x14ac:dyDescent="0.25">
      <c r="A15">
        <v>190153</v>
      </c>
      <c r="B15" t="s">
        <v>86</v>
      </c>
      <c r="C15" s="21">
        <v>46190</v>
      </c>
      <c r="D15" t="s">
        <v>96</v>
      </c>
      <c r="E15" t="s">
        <v>97</v>
      </c>
      <c r="F15" t="s">
        <v>98</v>
      </c>
      <c r="G15" t="s">
        <v>98</v>
      </c>
      <c r="H15" t="s">
        <v>79</v>
      </c>
      <c r="I15" t="s">
        <v>79</v>
      </c>
      <c r="K15">
        <v>1</v>
      </c>
      <c r="L15">
        <v>1</v>
      </c>
      <c r="M15">
        <v>1</v>
      </c>
      <c r="N15">
        <v>1.1499999999999999</v>
      </c>
      <c r="O15">
        <v>0</v>
      </c>
      <c r="P15">
        <v>0</v>
      </c>
      <c r="Q15">
        <v>0</v>
      </c>
      <c r="R15" t="s">
        <v>9</v>
      </c>
      <c r="S15" t="s">
        <v>54</v>
      </c>
      <c r="T15" t="s">
        <v>55</v>
      </c>
      <c r="U15" t="s">
        <v>56</v>
      </c>
      <c r="V15" t="s">
        <v>56</v>
      </c>
      <c r="W15" t="s">
        <v>57</v>
      </c>
      <c r="X15" t="s">
        <v>90</v>
      </c>
      <c r="Y15">
        <v>104068101001</v>
      </c>
      <c r="Z15" t="s">
        <v>91</v>
      </c>
      <c r="AA15" t="s">
        <v>60</v>
      </c>
      <c r="AB15" t="s">
        <v>61</v>
      </c>
      <c r="AC15" t="s">
        <v>62</v>
      </c>
    </row>
    <row r="16" spans="1:29" hidden="1" x14ac:dyDescent="0.25">
      <c r="A16">
        <v>190164</v>
      </c>
      <c r="B16" t="s">
        <v>99</v>
      </c>
      <c r="C16" s="21">
        <v>46190</v>
      </c>
      <c r="D16" t="s">
        <v>100</v>
      </c>
      <c r="E16" t="s">
        <v>101</v>
      </c>
      <c r="F16" t="s">
        <v>89</v>
      </c>
      <c r="G16" t="s">
        <v>89</v>
      </c>
      <c r="H16" t="s">
        <v>95</v>
      </c>
      <c r="I16" t="s">
        <v>95</v>
      </c>
      <c r="J16" t="s">
        <v>71</v>
      </c>
      <c r="K16">
        <v>1</v>
      </c>
      <c r="L16">
        <v>0.79</v>
      </c>
      <c r="M16">
        <v>0</v>
      </c>
      <c r="N16">
        <v>0</v>
      </c>
      <c r="O16">
        <v>0.49</v>
      </c>
      <c r="P16">
        <v>0.79</v>
      </c>
      <c r="Q16">
        <v>100</v>
      </c>
      <c r="R16" t="s">
        <v>9</v>
      </c>
      <c r="S16" t="s">
        <v>54</v>
      </c>
      <c r="T16" t="s">
        <v>102</v>
      </c>
      <c r="U16" t="s">
        <v>56</v>
      </c>
      <c r="V16" t="s">
        <v>56</v>
      </c>
      <c r="W16" t="s">
        <v>57</v>
      </c>
      <c r="X16" t="s">
        <v>103</v>
      </c>
      <c r="Y16">
        <v>106423023001</v>
      </c>
      <c r="Z16" t="s">
        <v>104</v>
      </c>
      <c r="AA16" t="s">
        <v>60</v>
      </c>
      <c r="AC16" t="s">
        <v>62</v>
      </c>
    </row>
    <row r="17" spans="1:29" hidden="1" x14ac:dyDescent="0.25">
      <c r="A17">
        <v>190165</v>
      </c>
      <c r="B17" t="s">
        <v>99</v>
      </c>
      <c r="C17" s="21">
        <v>46190</v>
      </c>
      <c r="D17" t="s">
        <v>105</v>
      </c>
      <c r="E17" t="s">
        <v>106</v>
      </c>
      <c r="F17" t="s">
        <v>94</v>
      </c>
      <c r="G17" t="s">
        <v>94</v>
      </c>
      <c r="H17" t="s">
        <v>95</v>
      </c>
      <c r="I17" t="s">
        <v>95</v>
      </c>
      <c r="J17" t="s">
        <v>71</v>
      </c>
      <c r="K17">
        <v>1</v>
      </c>
      <c r="L17">
        <v>24.92</v>
      </c>
      <c r="M17">
        <v>24.92</v>
      </c>
      <c r="N17">
        <v>28.66</v>
      </c>
      <c r="O17">
        <v>17.649999999999999</v>
      </c>
      <c r="P17">
        <v>0</v>
      </c>
      <c r="Q17">
        <v>0</v>
      </c>
      <c r="R17" t="s">
        <v>9</v>
      </c>
      <c r="S17" t="s">
        <v>54</v>
      </c>
      <c r="T17" t="s">
        <v>102</v>
      </c>
      <c r="U17" t="s">
        <v>56</v>
      </c>
      <c r="V17" t="s">
        <v>56</v>
      </c>
      <c r="W17" t="s">
        <v>57</v>
      </c>
      <c r="X17" t="s">
        <v>103</v>
      </c>
      <c r="Y17">
        <v>106423023001</v>
      </c>
      <c r="Z17" t="s">
        <v>104</v>
      </c>
      <c r="AA17" t="s">
        <v>60</v>
      </c>
      <c r="AC17" t="s">
        <v>62</v>
      </c>
    </row>
    <row r="18" spans="1:29" hidden="1" x14ac:dyDescent="0.25">
      <c r="A18">
        <v>190166</v>
      </c>
      <c r="B18" t="s">
        <v>99</v>
      </c>
      <c r="C18" s="21">
        <v>46190</v>
      </c>
      <c r="D18" t="s">
        <v>107</v>
      </c>
      <c r="E18" t="s">
        <v>108</v>
      </c>
      <c r="F18" t="s">
        <v>109</v>
      </c>
      <c r="G18" t="s">
        <v>109</v>
      </c>
      <c r="H18" t="s">
        <v>95</v>
      </c>
      <c r="I18" t="s">
        <v>95</v>
      </c>
      <c r="J18" t="s">
        <v>71</v>
      </c>
      <c r="K18">
        <v>2</v>
      </c>
      <c r="L18">
        <v>1.03</v>
      </c>
      <c r="M18">
        <v>0</v>
      </c>
      <c r="N18">
        <v>0</v>
      </c>
      <c r="O18">
        <v>0.75</v>
      </c>
      <c r="P18">
        <v>2.06</v>
      </c>
      <c r="Q18">
        <v>100</v>
      </c>
      <c r="R18" t="s">
        <v>9</v>
      </c>
      <c r="S18" t="s">
        <v>54</v>
      </c>
      <c r="T18" t="s">
        <v>102</v>
      </c>
      <c r="U18" t="s">
        <v>56</v>
      </c>
      <c r="V18" t="s">
        <v>56</v>
      </c>
      <c r="W18" t="s">
        <v>57</v>
      </c>
      <c r="X18" t="s">
        <v>103</v>
      </c>
      <c r="Y18">
        <v>106423023001</v>
      </c>
      <c r="Z18" t="s">
        <v>104</v>
      </c>
      <c r="AA18" t="s">
        <v>60</v>
      </c>
      <c r="AC18" t="s">
        <v>62</v>
      </c>
    </row>
    <row r="19" spans="1:29" hidden="1" x14ac:dyDescent="0.25">
      <c r="A19">
        <v>190167</v>
      </c>
      <c r="B19" t="s">
        <v>99</v>
      </c>
      <c r="C19" s="21">
        <v>46190</v>
      </c>
      <c r="D19" t="s">
        <v>110</v>
      </c>
      <c r="E19" t="s">
        <v>111</v>
      </c>
      <c r="F19" t="s">
        <v>94</v>
      </c>
      <c r="G19" t="s">
        <v>94</v>
      </c>
      <c r="H19" t="s">
        <v>95</v>
      </c>
      <c r="I19" t="s">
        <v>95</v>
      </c>
      <c r="J19" t="s">
        <v>71</v>
      </c>
      <c r="K19">
        <v>1</v>
      </c>
      <c r="L19">
        <v>34.479999999999997</v>
      </c>
      <c r="M19">
        <v>34.479999999999997</v>
      </c>
      <c r="N19">
        <v>39.659999999999997</v>
      </c>
      <c r="O19">
        <v>23.78</v>
      </c>
      <c r="P19">
        <v>0</v>
      </c>
      <c r="Q19">
        <v>0</v>
      </c>
      <c r="R19" t="s">
        <v>9</v>
      </c>
      <c r="S19" t="s">
        <v>54</v>
      </c>
      <c r="T19" t="s">
        <v>102</v>
      </c>
      <c r="U19" t="s">
        <v>56</v>
      </c>
      <c r="V19" t="s">
        <v>56</v>
      </c>
      <c r="W19" t="s">
        <v>57</v>
      </c>
      <c r="X19" t="s">
        <v>103</v>
      </c>
      <c r="Y19">
        <v>106423023001</v>
      </c>
      <c r="Z19" t="s">
        <v>104</v>
      </c>
      <c r="AA19" t="s">
        <v>60</v>
      </c>
      <c r="AC19" t="s">
        <v>62</v>
      </c>
    </row>
    <row r="20" spans="1:29" hidden="1" x14ac:dyDescent="0.25">
      <c r="A20">
        <v>190168</v>
      </c>
      <c r="B20" t="s">
        <v>99</v>
      </c>
      <c r="C20" s="21">
        <v>46190</v>
      </c>
      <c r="D20" t="s">
        <v>112</v>
      </c>
      <c r="E20" t="s">
        <v>113</v>
      </c>
      <c r="F20" t="s">
        <v>114</v>
      </c>
      <c r="G20" t="s">
        <v>114</v>
      </c>
      <c r="H20" t="s">
        <v>115</v>
      </c>
      <c r="I20" t="s">
        <v>115</v>
      </c>
      <c r="J20" t="s">
        <v>53</v>
      </c>
      <c r="K20">
        <v>1</v>
      </c>
      <c r="L20">
        <v>71.45</v>
      </c>
      <c r="M20">
        <v>71.45</v>
      </c>
      <c r="N20">
        <v>82.17</v>
      </c>
      <c r="O20">
        <v>59.54</v>
      </c>
      <c r="P20">
        <v>0</v>
      </c>
      <c r="Q20">
        <v>0</v>
      </c>
      <c r="R20" t="s">
        <v>9</v>
      </c>
      <c r="S20" t="s">
        <v>54</v>
      </c>
      <c r="T20" t="s">
        <v>102</v>
      </c>
      <c r="U20" t="s">
        <v>56</v>
      </c>
      <c r="V20" t="s">
        <v>56</v>
      </c>
      <c r="W20" t="s">
        <v>57</v>
      </c>
      <c r="X20" t="s">
        <v>103</v>
      </c>
      <c r="Y20">
        <v>106423023001</v>
      </c>
      <c r="Z20" t="s">
        <v>104</v>
      </c>
      <c r="AA20" t="s">
        <v>60</v>
      </c>
      <c r="AC20" t="s">
        <v>62</v>
      </c>
    </row>
    <row r="21" spans="1:29" hidden="1" x14ac:dyDescent="0.25">
      <c r="A21">
        <v>190169</v>
      </c>
      <c r="B21" t="s">
        <v>116</v>
      </c>
      <c r="C21" s="21">
        <v>46190</v>
      </c>
      <c r="D21" t="s">
        <v>117</v>
      </c>
      <c r="E21" t="s">
        <v>118</v>
      </c>
      <c r="F21" t="s">
        <v>78</v>
      </c>
      <c r="G21" t="s">
        <v>78</v>
      </c>
      <c r="H21" t="s">
        <v>69</v>
      </c>
      <c r="I21" t="s">
        <v>70</v>
      </c>
      <c r="J21" t="s">
        <v>71</v>
      </c>
      <c r="K21">
        <v>3</v>
      </c>
      <c r="L21">
        <v>1.23</v>
      </c>
      <c r="M21">
        <v>3.69</v>
      </c>
      <c r="N21">
        <v>4.24</v>
      </c>
      <c r="O21">
        <v>0.68</v>
      </c>
      <c r="P21">
        <v>0</v>
      </c>
      <c r="Q21">
        <v>0</v>
      </c>
      <c r="R21" t="s">
        <v>9</v>
      </c>
      <c r="S21" t="s">
        <v>54</v>
      </c>
      <c r="T21" t="s">
        <v>102</v>
      </c>
      <c r="U21" t="s">
        <v>56</v>
      </c>
      <c r="V21" t="s">
        <v>56</v>
      </c>
      <c r="W21" t="s">
        <v>57</v>
      </c>
      <c r="X21" t="s">
        <v>119</v>
      </c>
      <c r="Y21">
        <v>106487036001</v>
      </c>
      <c r="Z21" t="s">
        <v>120</v>
      </c>
      <c r="AA21" t="s">
        <v>60</v>
      </c>
      <c r="AB21" t="s">
        <v>61</v>
      </c>
      <c r="AC21" t="s">
        <v>62</v>
      </c>
    </row>
    <row r="22" spans="1:29" hidden="1" x14ac:dyDescent="0.25">
      <c r="A22">
        <v>190170</v>
      </c>
      <c r="B22" t="s">
        <v>116</v>
      </c>
      <c r="C22" s="21">
        <v>46190</v>
      </c>
      <c r="D22" t="s">
        <v>121</v>
      </c>
      <c r="E22" t="s">
        <v>122</v>
      </c>
      <c r="F22" t="s">
        <v>78</v>
      </c>
      <c r="G22" t="s">
        <v>78</v>
      </c>
      <c r="H22" t="s">
        <v>69</v>
      </c>
      <c r="I22" t="s">
        <v>70</v>
      </c>
      <c r="J22" t="s">
        <v>71</v>
      </c>
      <c r="K22">
        <v>3</v>
      </c>
      <c r="L22">
        <v>1.23</v>
      </c>
      <c r="M22">
        <v>3.69</v>
      </c>
      <c r="N22">
        <v>4.24</v>
      </c>
      <c r="O22">
        <v>0.68</v>
      </c>
      <c r="P22">
        <v>0</v>
      </c>
      <c r="Q22">
        <v>0</v>
      </c>
      <c r="R22" t="s">
        <v>9</v>
      </c>
      <c r="S22" t="s">
        <v>54</v>
      </c>
      <c r="T22" t="s">
        <v>102</v>
      </c>
      <c r="U22" t="s">
        <v>56</v>
      </c>
      <c r="V22" t="s">
        <v>56</v>
      </c>
      <c r="W22" t="s">
        <v>57</v>
      </c>
      <c r="X22" t="s">
        <v>119</v>
      </c>
      <c r="Y22">
        <v>106487036001</v>
      </c>
      <c r="Z22" t="s">
        <v>120</v>
      </c>
      <c r="AA22" t="s">
        <v>60</v>
      </c>
      <c r="AB22" t="s">
        <v>61</v>
      </c>
      <c r="AC22" t="s">
        <v>62</v>
      </c>
    </row>
    <row r="23" spans="1:29" hidden="1" x14ac:dyDescent="0.25">
      <c r="A23">
        <v>190171</v>
      </c>
      <c r="B23" t="s">
        <v>116</v>
      </c>
      <c r="C23" s="21">
        <v>46190</v>
      </c>
      <c r="D23" t="s">
        <v>76</v>
      </c>
      <c r="E23" t="s">
        <v>77</v>
      </c>
      <c r="F23" t="s">
        <v>78</v>
      </c>
      <c r="G23" t="s">
        <v>78</v>
      </c>
      <c r="H23" t="s">
        <v>79</v>
      </c>
      <c r="I23" t="s">
        <v>79</v>
      </c>
      <c r="K23">
        <v>24</v>
      </c>
      <c r="L23">
        <v>0.01</v>
      </c>
      <c r="M23">
        <v>0.28000000000000003</v>
      </c>
      <c r="N23">
        <v>0.32</v>
      </c>
      <c r="O23">
        <v>0.01</v>
      </c>
      <c r="P23">
        <v>0</v>
      </c>
      <c r="Q23">
        <v>0</v>
      </c>
      <c r="R23" t="s">
        <v>9</v>
      </c>
      <c r="S23" t="s">
        <v>54</v>
      </c>
      <c r="T23" t="s">
        <v>102</v>
      </c>
      <c r="U23" t="s">
        <v>56</v>
      </c>
      <c r="V23" t="s">
        <v>56</v>
      </c>
      <c r="W23" t="s">
        <v>57</v>
      </c>
      <c r="X23" t="s">
        <v>119</v>
      </c>
      <c r="Y23">
        <v>106487036001</v>
      </c>
      <c r="Z23" t="s">
        <v>120</v>
      </c>
      <c r="AA23" t="s">
        <v>60</v>
      </c>
      <c r="AB23" t="s">
        <v>61</v>
      </c>
      <c r="AC23" t="s">
        <v>62</v>
      </c>
    </row>
    <row r="24" spans="1:29" hidden="1" x14ac:dyDescent="0.25">
      <c r="A24">
        <v>190172</v>
      </c>
      <c r="B24" t="s">
        <v>116</v>
      </c>
      <c r="C24" s="21">
        <v>46190</v>
      </c>
      <c r="D24" t="s">
        <v>123</v>
      </c>
      <c r="E24" t="s">
        <v>124</v>
      </c>
      <c r="F24" t="s">
        <v>51</v>
      </c>
      <c r="G24" t="s">
        <v>51</v>
      </c>
      <c r="H24" t="s">
        <v>125</v>
      </c>
      <c r="I24" t="s">
        <v>125</v>
      </c>
      <c r="J24" t="s">
        <v>83</v>
      </c>
      <c r="K24">
        <v>24</v>
      </c>
      <c r="L24">
        <v>3.8</v>
      </c>
      <c r="M24">
        <v>82.06</v>
      </c>
      <c r="N24">
        <v>94.37</v>
      </c>
      <c r="O24">
        <v>2.65</v>
      </c>
      <c r="P24">
        <v>9.1199999999999992</v>
      </c>
      <c r="Q24">
        <v>10</v>
      </c>
      <c r="R24" t="s">
        <v>9</v>
      </c>
      <c r="S24" t="s">
        <v>54</v>
      </c>
      <c r="T24" t="s">
        <v>102</v>
      </c>
      <c r="U24" t="s">
        <v>56</v>
      </c>
      <c r="V24" t="s">
        <v>56</v>
      </c>
      <c r="W24" t="s">
        <v>57</v>
      </c>
      <c r="X24" t="s">
        <v>119</v>
      </c>
      <c r="Y24">
        <v>106487036001</v>
      </c>
      <c r="Z24" t="s">
        <v>120</v>
      </c>
      <c r="AA24" t="s">
        <v>60</v>
      </c>
      <c r="AB24" t="s">
        <v>61</v>
      </c>
      <c r="AC24" t="s">
        <v>62</v>
      </c>
    </row>
    <row r="25" spans="1:29" hidden="1" x14ac:dyDescent="0.25">
      <c r="A25">
        <v>190183</v>
      </c>
      <c r="B25" t="s">
        <v>126</v>
      </c>
      <c r="C25" s="21">
        <v>46190</v>
      </c>
      <c r="D25" t="s">
        <v>127</v>
      </c>
      <c r="E25" t="s">
        <v>128</v>
      </c>
      <c r="F25" t="s">
        <v>89</v>
      </c>
      <c r="G25" t="s">
        <v>89</v>
      </c>
      <c r="H25" t="s">
        <v>129</v>
      </c>
      <c r="I25" t="s">
        <v>129</v>
      </c>
      <c r="J25" t="s">
        <v>53</v>
      </c>
      <c r="K25">
        <v>12</v>
      </c>
      <c r="L25">
        <v>2.64</v>
      </c>
      <c r="M25">
        <v>31.65</v>
      </c>
      <c r="N25">
        <v>36.4</v>
      </c>
      <c r="O25">
        <v>2.0299999999999998</v>
      </c>
      <c r="P25">
        <v>0</v>
      </c>
      <c r="Q25">
        <v>0</v>
      </c>
      <c r="R25" t="s">
        <v>9</v>
      </c>
      <c r="S25" t="s">
        <v>54</v>
      </c>
      <c r="T25" t="s">
        <v>55</v>
      </c>
      <c r="U25" t="s">
        <v>56</v>
      </c>
      <c r="V25" t="s">
        <v>56</v>
      </c>
      <c r="W25" t="s">
        <v>57</v>
      </c>
      <c r="X25" t="s">
        <v>130</v>
      </c>
      <c r="Y25">
        <v>914434337001</v>
      </c>
      <c r="Z25" t="s">
        <v>131</v>
      </c>
      <c r="AA25" t="s">
        <v>60</v>
      </c>
      <c r="AB25" t="s">
        <v>61</v>
      </c>
      <c r="AC25" t="s">
        <v>62</v>
      </c>
    </row>
    <row r="26" spans="1:29" hidden="1" x14ac:dyDescent="0.25">
      <c r="A26">
        <v>190260</v>
      </c>
      <c r="B26" t="s">
        <v>132</v>
      </c>
      <c r="C26" s="21">
        <v>46190</v>
      </c>
      <c r="D26" t="s">
        <v>76</v>
      </c>
      <c r="E26" t="s">
        <v>77</v>
      </c>
      <c r="F26" t="s">
        <v>78</v>
      </c>
      <c r="G26" t="s">
        <v>78</v>
      </c>
      <c r="H26" t="s">
        <v>79</v>
      </c>
      <c r="I26" t="s">
        <v>79</v>
      </c>
      <c r="K26">
        <v>4</v>
      </c>
      <c r="L26">
        <v>0.01</v>
      </c>
      <c r="M26">
        <v>0.05</v>
      </c>
      <c r="N26">
        <v>0.05</v>
      </c>
      <c r="O26">
        <v>0.01</v>
      </c>
      <c r="P26">
        <v>0</v>
      </c>
      <c r="Q26">
        <v>0</v>
      </c>
      <c r="R26" t="s">
        <v>9</v>
      </c>
      <c r="S26" t="s">
        <v>54</v>
      </c>
      <c r="T26" t="s">
        <v>102</v>
      </c>
      <c r="U26" t="s">
        <v>56</v>
      </c>
      <c r="V26" t="s">
        <v>56</v>
      </c>
      <c r="W26" t="s">
        <v>57</v>
      </c>
      <c r="X26" t="s">
        <v>133</v>
      </c>
      <c r="Y26">
        <v>103794509</v>
      </c>
      <c r="Z26" t="s">
        <v>134</v>
      </c>
      <c r="AC26" t="s">
        <v>62</v>
      </c>
    </row>
    <row r="27" spans="1:29" hidden="1" x14ac:dyDescent="0.25">
      <c r="A27">
        <v>190261</v>
      </c>
      <c r="B27" t="s">
        <v>132</v>
      </c>
      <c r="C27" s="21">
        <v>46190</v>
      </c>
      <c r="D27" t="s">
        <v>76</v>
      </c>
      <c r="E27" t="s">
        <v>77</v>
      </c>
      <c r="F27" t="s">
        <v>78</v>
      </c>
      <c r="G27" t="s">
        <v>78</v>
      </c>
      <c r="H27" t="s">
        <v>79</v>
      </c>
      <c r="I27" t="s">
        <v>79</v>
      </c>
      <c r="K27">
        <v>1</v>
      </c>
      <c r="L27">
        <v>0.01</v>
      </c>
      <c r="M27">
        <v>0.01</v>
      </c>
      <c r="N27">
        <v>0.01</v>
      </c>
      <c r="O27">
        <v>0.01</v>
      </c>
      <c r="P27">
        <v>0</v>
      </c>
      <c r="Q27">
        <v>0</v>
      </c>
      <c r="R27" t="s">
        <v>9</v>
      </c>
      <c r="S27" t="s">
        <v>54</v>
      </c>
      <c r="T27" t="s">
        <v>102</v>
      </c>
      <c r="U27" t="s">
        <v>56</v>
      </c>
      <c r="V27" t="s">
        <v>56</v>
      </c>
      <c r="W27" t="s">
        <v>57</v>
      </c>
      <c r="X27" t="s">
        <v>133</v>
      </c>
      <c r="Y27">
        <v>103794509</v>
      </c>
      <c r="Z27" t="s">
        <v>134</v>
      </c>
      <c r="AC27" t="s">
        <v>62</v>
      </c>
    </row>
    <row r="28" spans="1:29" hidden="1" x14ac:dyDescent="0.25">
      <c r="A28">
        <v>190262</v>
      </c>
      <c r="B28" t="s">
        <v>132</v>
      </c>
      <c r="C28" s="21">
        <v>46190</v>
      </c>
      <c r="D28" t="s">
        <v>135</v>
      </c>
      <c r="E28" t="s">
        <v>136</v>
      </c>
      <c r="F28" t="s">
        <v>51</v>
      </c>
      <c r="G28" t="s">
        <v>51</v>
      </c>
      <c r="H28" t="s">
        <v>137</v>
      </c>
      <c r="I28" t="s">
        <v>137</v>
      </c>
      <c r="J28" t="s">
        <v>83</v>
      </c>
      <c r="K28">
        <v>1</v>
      </c>
      <c r="L28">
        <v>6.1</v>
      </c>
      <c r="M28">
        <v>5.8</v>
      </c>
      <c r="N28">
        <v>6.67</v>
      </c>
      <c r="O28">
        <v>4.1100000000000003</v>
      </c>
      <c r="P28">
        <v>0.31</v>
      </c>
      <c r="Q28">
        <v>5</v>
      </c>
      <c r="R28" t="s">
        <v>9</v>
      </c>
      <c r="S28" t="s">
        <v>54</v>
      </c>
      <c r="T28" t="s">
        <v>102</v>
      </c>
      <c r="U28" t="s">
        <v>56</v>
      </c>
      <c r="V28" t="s">
        <v>56</v>
      </c>
      <c r="W28" t="s">
        <v>57</v>
      </c>
      <c r="X28" t="s">
        <v>133</v>
      </c>
      <c r="Y28">
        <v>103794509</v>
      </c>
      <c r="Z28" t="s">
        <v>134</v>
      </c>
      <c r="AC28" t="s">
        <v>62</v>
      </c>
    </row>
    <row r="29" spans="1:29" hidden="1" x14ac:dyDescent="0.25">
      <c r="A29">
        <v>190263</v>
      </c>
      <c r="B29" t="s">
        <v>132</v>
      </c>
      <c r="C29" s="21">
        <v>46190</v>
      </c>
      <c r="D29" t="s">
        <v>138</v>
      </c>
      <c r="E29" t="s">
        <v>139</v>
      </c>
      <c r="F29" t="s">
        <v>51</v>
      </c>
      <c r="G29" t="s">
        <v>51</v>
      </c>
      <c r="H29" t="s">
        <v>137</v>
      </c>
      <c r="I29" t="s">
        <v>137</v>
      </c>
      <c r="J29" t="s">
        <v>83</v>
      </c>
      <c r="K29">
        <v>1</v>
      </c>
      <c r="L29">
        <v>21.06</v>
      </c>
      <c r="M29">
        <v>20.010000000000002</v>
      </c>
      <c r="N29">
        <v>23.01</v>
      </c>
      <c r="O29">
        <v>14.31</v>
      </c>
      <c r="P29">
        <v>1.05</v>
      </c>
      <c r="Q29">
        <v>5</v>
      </c>
      <c r="R29" t="s">
        <v>9</v>
      </c>
      <c r="S29" t="s">
        <v>54</v>
      </c>
      <c r="T29" t="s">
        <v>102</v>
      </c>
      <c r="U29" t="s">
        <v>56</v>
      </c>
      <c r="V29" t="s">
        <v>56</v>
      </c>
      <c r="W29" t="s">
        <v>57</v>
      </c>
      <c r="X29" t="s">
        <v>133</v>
      </c>
      <c r="Y29">
        <v>103794509</v>
      </c>
      <c r="Z29" t="s">
        <v>134</v>
      </c>
      <c r="AC29" t="s">
        <v>62</v>
      </c>
    </row>
    <row r="30" spans="1:29" hidden="1" x14ac:dyDescent="0.25">
      <c r="A30">
        <v>190264</v>
      </c>
      <c r="B30" t="s">
        <v>132</v>
      </c>
      <c r="C30" s="21">
        <v>46190</v>
      </c>
      <c r="D30" t="s">
        <v>96</v>
      </c>
      <c r="E30" t="s">
        <v>97</v>
      </c>
      <c r="F30" t="s">
        <v>98</v>
      </c>
      <c r="G30" t="s">
        <v>98</v>
      </c>
      <c r="H30" t="s">
        <v>79</v>
      </c>
      <c r="I30" t="s">
        <v>79</v>
      </c>
      <c r="K30">
        <v>1</v>
      </c>
      <c r="L30">
        <v>1</v>
      </c>
      <c r="M30">
        <v>1</v>
      </c>
      <c r="N30">
        <v>1.1499999999999999</v>
      </c>
      <c r="O30">
        <v>0</v>
      </c>
      <c r="P30">
        <v>0</v>
      </c>
      <c r="Q30">
        <v>0</v>
      </c>
      <c r="R30" t="s">
        <v>9</v>
      </c>
      <c r="S30" t="s">
        <v>54</v>
      </c>
      <c r="T30" t="s">
        <v>102</v>
      </c>
      <c r="U30" t="s">
        <v>56</v>
      </c>
      <c r="V30" t="s">
        <v>56</v>
      </c>
      <c r="W30" t="s">
        <v>57</v>
      </c>
      <c r="X30" t="s">
        <v>133</v>
      </c>
      <c r="Y30">
        <v>103794509</v>
      </c>
      <c r="Z30" t="s">
        <v>134</v>
      </c>
      <c r="AC30" t="s">
        <v>62</v>
      </c>
    </row>
    <row r="31" spans="1:29" hidden="1" x14ac:dyDescent="0.25">
      <c r="A31">
        <v>190265</v>
      </c>
      <c r="B31" t="s">
        <v>132</v>
      </c>
      <c r="C31" s="21">
        <v>46190</v>
      </c>
      <c r="D31" t="s">
        <v>140</v>
      </c>
      <c r="E31" t="s">
        <v>141</v>
      </c>
      <c r="F31" t="s">
        <v>68</v>
      </c>
      <c r="G31" t="s">
        <v>68</v>
      </c>
      <c r="H31" t="s">
        <v>142</v>
      </c>
      <c r="I31" t="s">
        <v>142</v>
      </c>
      <c r="J31" t="s">
        <v>83</v>
      </c>
      <c r="K31">
        <v>1</v>
      </c>
      <c r="L31">
        <v>1.56</v>
      </c>
      <c r="M31">
        <v>1.56</v>
      </c>
      <c r="N31">
        <v>1.79</v>
      </c>
      <c r="O31">
        <v>1.05</v>
      </c>
      <c r="P31">
        <v>0</v>
      </c>
      <c r="Q31">
        <v>0</v>
      </c>
      <c r="R31" t="s">
        <v>9</v>
      </c>
      <c r="S31" t="s">
        <v>54</v>
      </c>
      <c r="T31" t="s">
        <v>102</v>
      </c>
      <c r="U31" t="s">
        <v>56</v>
      </c>
      <c r="V31" t="s">
        <v>56</v>
      </c>
      <c r="W31" t="s">
        <v>57</v>
      </c>
      <c r="X31" t="s">
        <v>133</v>
      </c>
      <c r="Y31">
        <v>103794509</v>
      </c>
      <c r="Z31" t="s">
        <v>134</v>
      </c>
      <c r="AC31" t="s">
        <v>62</v>
      </c>
    </row>
    <row r="32" spans="1:29" hidden="1" x14ac:dyDescent="0.25">
      <c r="A32">
        <v>190385</v>
      </c>
      <c r="B32" t="s">
        <v>143</v>
      </c>
      <c r="C32" s="21">
        <v>46190</v>
      </c>
      <c r="D32" t="s">
        <v>144</v>
      </c>
      <c r="E32" t="s">
        <v>145</v>
      </c>
      <c r="F32" t="s">
        <v>146</v>
      </c>
      <c r="G32" t="s">
        <v>146</v>
      </c>
      <c r="H32" t="s">
        <v>142</v>
      </c>
      <c r="I32" t="s">
        <v>142</v>
      </c>
      <c r="J32" t="s">
        <v>83</v>
      </c>
      <c r="K32">
        <v>1</v>
      </c>
      <c r="L32">
        <v>6.96</v>
      </c>
      <c r="M32">
        <v>6.96</v>
      </c>
      <c r="N32">
        <v>8</v>
      </c>
      <c r="O32">
        <v>3.51</v>
      </c>
      <c r="P32">
        <v>0</v>
      </c>
      <c r="Q32">
        <v>0</v>
      </c>
      <c r="R32" t="s">
        <v>9</v>
      </c>
      <c r="S32" t="s">
        <v>147</v>
      </c>
      <c r="T32" t="s">
        <v>148</v>
      </c>
      <c r="U32" t="s">
        <v>149</v>
      </c>
      <c r="V32" t="s">
        <v>149</v>
      </c>
      <c r="W32" t="s">
        <v>150</v>
      </c>
      <c r="X32" t="s">
        <v>151</v>
      </c>
      <c r="Y32">
        <v>101960342</v>
      </c>
      <c r="Z32" t="s">
        <v>152</v>
      </c>
    </row>
    <row r="33" spans="1:28" hidden="1" x14ac:dyDescent="0.25">
      <c r="A33">
        <v>190386</v>
      </c>
      <c r="B33" t="s">
        <v>143</v>
      </c>
      <c r="C33" s="21">
        <v>46190</v>
      </c>
      <c r="D33" t="s">
        <v>153</v>
      </c>
      <c r="E33" t="s">
        <v>154</v>
      </c>
      <c r="F33" t="s">
        <v>146</v>
      </c>
      <c r="G33" t="s">
        <v>146</v>
      </c>
      <c r="H33" t="s">
        <v>142</v>
      </c>
      <c r="I33" t="s">
        <v>142</v>
      </c>
      <c r="J33" t="s">
        <v>83</v>
      </c>
      <c r="K33">
        <v>1</v>
      </c>
      <c r="L33">
        <v>3.58</v>
      </c>
      <c r="M33">
        <v>3.58</v>
      </c>
      <c r="N33">
        <v>4.12</v>
      </c>
      <c r="O33">
        <v>1.72</v>
      </c>
      <c r="P33">
        <v>0</v>
      </c>
      <c r="Q33">
        <v>0</v>
      </c>
      <c r="R33" t="s">
        <v>9</v>
      </c>
      <c r="S33" t="s">
        <v>147</v>
      </c>
      <c r="T33" t="s">
        <v>148</v>
      </c>
      <c r="U33" t="s">
        <v>149</v>
      </c>
      <c r="V33" t="s">
        <v>149</v>
      </c>
      <c r="W33" t="s">
        <v>150</v>
      </c>
      <c r="X33" t="s">
        <v>151</v>
      </c>
      <c r="Y33">
        <v>101960342</v>
      </c>
      <c r="Z33" t="s">
        <v>152</v>
      </c>
    </row>
    <row r="34" spans="1:28" x14ac:dyDescent="0.25">
      <c r="A34">
        <v>190388</v>
      </c>
      <c r="B34" t="s">
        <v>155</v>
      </c>
      <c r="C34" s="21">
        <v>46190</v>
      </c>
      <c r="D34" t="s">
        <v>156</v>
      </c>
      <c r="E34" t="s">
        <v>157</v>
      </c>
      <c r="F34" t="s">
        <v>146</v>
      </c>
      <c r="G34" t="s">
        <v>146</v>
      </c>
      <c r="H34" t="s">
        <v>69</v>
      </c>
      <c r="I34" t="s">
        <v>70</v>
      </c>
      <c r="J34" t="s">
        <v>71</v>
      </c>
      <c r="K34">
        <v>3</v>
      </c>
      <c r="L34">
        <v>1.73</v>
      </c>
      <c r="M34">
        <v>5.19</v>
      </c>
      <c r="N34">
        <v>5.97</v>
      </c>
      <c r="O34">
        <v>0.97</v>
      </c>
      <c r="P34">
        <v>0</v>
      </c>
      <c r="Q34">
        <v>0</v>
      </c>
      <c r="R34" t="s">
        <v>9</v>
      </c>
      <c r="S34" t="s">
        <v>54</v>
      </c>
      <c r="T34" t="s">
        <v>148</v>
      </c>
      <c r="U34" t="s">
        <v>158</v>
      </c>
      <c r="V34" t="s">
        <v>158</v>
      </c>
      <c r="W34" t="s">
        <v>159</v>
      </c>
      <c r="X34" t="s">
        <v>160</v>
      </c>
      <c r="Y34">
        <v>105252670</v>
      </c>
      <c r="Z34" t="s">
        <v>161</v>
      </c>
      <c r="AA34" t="s">
        <v>60</v>
      </c>
      <c r="AB34" t="s">
        <v>61</v>
      </c>
    </row>
    <row r="35" spans="1:28" hidden="1" x14ac:dyDescent="0.25">
      <c r="A35">
        <v>190395</v>
      </c>
      <c r="B35" t="s">
        <v>162</v>
      </c>
      <c r="C35" s="21">
        <v>46190</v>
      </c>
      <c r="D35" t="s">
        <v>163</v>
      </c>
      <c r="E35" t="s">
        <v>164</v>
      </c>
      <c r="F35" t="s">
        <v>165</v>
      </c>
      <c r="G35" t="s">
        <v>165</v>
      </c>
      <c r="H35" t="s">
        <v>125</v>
      </c>
      <c r="I35" t="s">
        <v>125</v>
      </c>
      <c r="J35" t="s">
        <v>83</v>
      </c>
      <c r="K35">
        <v>2</v>
      </c>
      <c r="L35">
        <v>3.26</v>
      </c>
      <c r="M35">
        <v>6.52</v>
      </c>
      <c r="N35">
        <v>7.5</v>
      </c>
      <c r="O35">
        <v>2.17</v>
      </c>
      <c r="P35">
        <v>0</v>
      </c>
      <c r="Q35">
        <v>0</v>
      </c>
      <c r="R35" t="s">
        <v>9</v>
      </c>
      <c r="S35" t="s">
        <v>54</v>
      </c>
      <c r="T35" t="s">
        <v>55</v>
      </c>
      <c r="U35" t="s">
        <v>149</v>
      </c>
      <c r="V35" t="s">
        <v>149</v>
      </c>
      <c r="W35" t="s">
        <v>150</v>
      </c>
      <c r="X35" t="s">
        <v>166</v>
      </c>
      <c r="Y35">
        <v>106858798001</v>
      </c>
      <c r="Z35" t="s">
        <v>167</v>
      </c>
      <c r="AB35" t="s">
        <v>61</v>
      </c>
    </row>
    <row r="36" spans="1:28" hidden="1" x14ac:dyDescent="0.25">
      <c r="A36">
        <v>190398</v>
      </c>
      <c r="B36" t="s">
        <v>168</v>
      </c>
      <c r="C36" s="21">
        <v>46190</v>
      </c>
      <c r="D36" t="s">
        <v>169</v>
      </c>
      <c r="E36" t="s">
        <v>170</v>
      </c>
      <c r="F36" t="s">
        <v>171</v>
      </c>
      <c r="G36" t="s">
        <v>171</v>
      </c>
      <c r="H36" t="s">
        <v>69</v>
      </c>
      <c r="I36" t="s">
        <v>70</v>
      </c>
      <c r="J36" t="s">
        <v>71</v>
      </c>
      <c r="K36">
        <v>3</v>
      </c>
      <c r="L36">
        <v>1.75</v>
      </c>
      <c r="M36">
        <v>5.25</v>
      </c>
      <c r="N36">
        <v>6.04</v>
      </c>
      <c r="O36">
        <v>0.79</v>
      </c>
      <c r="P36">
        <v>0</v>
      </c>
      <c r="Q36">
        <v>0</v>
      </c>
      <c r="R36" t="s">
        <v>9</v>
      </c>
      <c r="S36" t="s">
        <v>172</v>
      </c>
      <c r="T36" t="s">
        <v>148</v>
      </c>
      <c r="U36" t="s">
        <v>149</v>
      </c>
      <c r="V36" t="s">
        <v>149</v>
      </c>
      <c r="W36" t="s">
        <v>150</v>
      </c>
      <c r="X36" t="s">
        <v>173</v>
      </c>
      <c r="Y36">
        <v>103185419</v>
      </c>
      <c r="Z36" t="s">
        <v>174</v>
      </c>
      <c r="AB36" t="s">
        <v>61</v>
      </c>
    </row>
    <row r="37" spans="1:28" hidden="1" x14ac:dyDescent="0.25">
      <c r="A37">
        <v>190399</v>
      </c>
      <c r="B37" t="s">
        <v>168</v>
      </c>
      <c r="C37" s="21">
        <v>46190</v>
      </c>
      <c r="D37" t="s">
        <v>175</v>
      </c>
      <c r="E37" t="s">
        <v>176</v>
      </c>
      <c r="F37" t="s">
        <v>165</v>
      </c>
      <c r="G37" t="s">
        <v>165</v>
      </c>
      <c r="H37" t="s">
        <v>142</v>
      </c>
      <c r="I37" t="s">
        <v>142</v>
      </c>
      <c r="J37" t="s">
        <v>83</v>
      </c>
      <c r="K37">
        <v>3</v>
      </c>
      <c r="L37">
        <v>3.57</v>
      </c>
      <c r="M37">
        <v>10.71</v>
      </c>
      <c r="N37">
        <v>12.32</v>
      </c>
      <c r="O37">
        <v>2.2200000000000002</v>
      </c>
      <c r="P37">
        <v>0</v>
      </c>
      <c r="Q37">
        <v>0</v>
      </c>
      <c r="R37" t="s">
        <v>9</v>
      </c>
      <c r="S37" t="s">
        <v>172</v>
      </c>
      <c r="T37" t="s">
        <v>148</v>
      </c>
      <c r="U37" t="s">
        <v>149</v>
      </c>
      <c r="V37" t="s">
        <v>149</v>
      </c>
      <c r="W37" t="s">
        <v>150</v>
      </c>
      <c r="X37" t="s">
        <v>173</v>
      </c>
      <c r="Y37">
        <v>103185419</v>
      </c>
      <c r="Z37" t="s">
        <v>174</v>
      </c>
      <c r="AB37" t="s">
        <v>61</v>
      </c>
    </row>
    <row r="38" spans="1:28" x14ac:dyDescent="0.25">
      <c r="A38">
        <v>190400</v>
      </c>
      <c r="B38" t="s">
        <v>177</v>
      </c>
      <c r="C38" s="21">
        <v>46190</v>
      </c>
      <c r="D38" t="s">
        <v>178</v>
      </c>
      <c r="E38" t="s">
        <v>179</v>
      </c>
      <c r="F38" t="s">
        <v>65</v>
      </c>
      <c r="G38" t="s">
        <v>65</v>
      </c>
      <c r="H38" t="s">
        <v>69</v>
      </c>
      <c r="I38" t="s">
        <v>70</v>
      </c>
      <c r="K38">
        <v>2</v>
      </c>
      <c r="L38">
        <v>0.39</v>
      </c>
      <c r="M38">
        <v>0</v>
      </c>
      <c r="N38">
        <v>0</v>
      </c>
      <c r="O38">
        <v>0.26</v>
      </c>
      <c r="P38">
        <v>0.78</v>
      </c>
      <c r="Q38">
        <v>100</v>
      </c>
      <c r="R38" t="s">
        <v>9</v>
      </c>
      <c r="S38" t="s">
        <v>54</v>
      </c>
      <c r="T38" t="s">
        <v>148</v>
      </c>
      <c r="U38" t="s">
        <v>158</v>
      </c>
      <c r="V38" t="s">
        <v>158</v>
      </c>
      <c r="W38" t="s">
        <v>159</v>
      </c>
      <c r="X38" t="s">
        <v>180</v>
      </c>
      <c r="Y38">
        <v>106825433001</v>
      </c>
      <c r="Z38" t="s">
        <v>181</v>
      </c>
      <c r="AB38" t="s">
        <v>61</v>
      </c>
    </row>
    <row r="39" spans="1:28" x14ac:dyDescent="0.25">
      <c r="A39">
        <v>190401</v>
      </c>
      <c r="B39" t="s">
        <v>177</v>
      </c>
      <c r="C39" s="21">
        <v>46190</v>
      </c>
      <c r="D39" t="s">
        <v>182</v>
      </c>
      <c r="E39" t="s">
        <v>183</v>
      </c>
      <c r="F39" t="s">
        <v>51</v>
      </c>
      <c r="G39" t="s">
        <v>51</v>
      </c>
      <c r="H39" t="s">
        <v>69</v>
      </c>
      <c r="I39" t="s">
        <v>70</v>
      </c>
      <c r="J39" t="s">
        <v>71</v>
      </c>
      <c r="K39">
        <v>1</v>
      </c>
      <c r="L39">
        <v>15.52</v>
      </c>
      <c r="M39">
        <v>15.52</v>
      </c>
      <c r="N39">
        <v>17.850000000000001</v>
      </c>
      <c r="O39">
        <v>8.16</v>
      </c>
      <c r="P39">
        <v>0</v>
      </c>
      <c r="Q39">
        <v>0</v>
      </c>
      <c r="R39" t="s">
        <v>9</v>
      </c>
      <c r="S39" t="s">
        <v>54</v>
      </c>
      <c r="T39" t="s">
        <v>148</v>
      </c>
      <c r="U39" t="s">
        <v>158</v>
      </c>
      <c r="V39" t="s">
        <v>158</v>
      </c>
      <c r="W39" t="s">
        <v>159</v>
      </c>
      <c r="X39" t="s">
        <v>180</v>
      </c>
      <c r="Y39">
        <v>106825433001</v>
      </c>
      <c r="Z39" t="s">
        <v>181</v>
      </c>
      <c r="AB39" t="s">
        <v>61</v>
      </c>
    </row>
    <row r="40" spans="1:28" x14ac:dyDescent="0.25">
      <c r="A40">
        <v>190402</v>
      </c>
      <c r="B40" t="s">
        <v>177</v>
      </c>
      <c r="C40" s="21">
        <v>46190</v>
      </c>
      <c r="D40" t="s">
        <v>184</v>
      </c>
      <c r="E40" t="s">
        <v>185</v>
      </c>
      <c r="F40" t="s">
        <v>51</v>
      </c>
      <c r="G40" t="s">
        <v>51</v>
      </c>
      <c r="H40" t="s">
        <v>69</v>
      </c>
      <c r="I40" t="s">
        <v>70</v>
      </c>
      <c r="J40" t="s">
        <v>71</v>
      </c>
      <c r="K40">
        <v>1</v>
      </c>
      <c r="L40">
        <v>15.52</v>
      </c>
      <c r="M40">
        <v>15.52</v>
      </c>
      <c r="N40">
        <v>17.850000000000001</v>
      </c>
      <c r="O40">
        <v>8.32</v>
      </c>
      <c r="P40">
        <v>0</v>
      </c>
      <c r="Q40">
        <v>0</v>
      </c>
      <c r="R40" t="s">
        <v>9</v>
      </c>
      <c r="S40" t="s">
        <v>54</v>
      </c>
      <c r="T40" t="s">
        <v>148</v>
      </c>
      <c r="U40" t="s">
        <v>158</v>
      </c>
      <c r="V40" t="s">
        <v>158</v>
      </c>
      <c r="W40" t="s">
        <v>159</v>
      </c>
      <c r="X40" t="s">
        <v>180</v>
      </c>
      <c r="Y40">
        <v>106825433001</v>
      </c>
      <c r="Z40" t="s">
        <v>181</v>
      </c>
      <c r="AB40" t="s">
        <v>61</v>
      </c>
    </row>
    <row r="41" spans="1:28" x14ac:dyDescent="0.25">
      <c r="A41">
        <v>190403</v>
      </c>
      <c r="B41" t="s">
        <v>177</v>
      </c>
      <c r="C41" s="21">
        <v>46190</v>
      </c>
      <c r="D41" t="s">
        <v>186</v>
      </c>
      <c r="E41" t="s">
        <v>187</v>
      </c>
      <c r="F41" t="s">
        <v>68</v>
      </c>
      <c r="G41" t="s">
        <v>68</v>
      </c>
      <c r="H41" t="s">
        <v>69</v>
      </c>
      <c r="I41" t="s">
        <v>70</v>
      </c>
      <c r="J41" t="s">
        <v>71</v>
      </c>
      <c r="K41">
        <v>1</v>
      </c>
      <c r="L41">
        <v>1.8</v>
      </c>
      <c r="M41">
        <v>1.8</v>
      </c>
      <c r="N41">
        <v>2.0699999999999998</v>
      </c>
      <c r="O41">
        <v>1.19</v>
      </c>
      <c r="P41">
        <v>0</v>
      </c>
      <c r="Q41">
        <v>0</v>
      </c>
      <c r="R41" t="s">
        <v>9</v>
      </c>
      <c r="S41" t="s">
        <v>54</v>
      </c>
      <c r="T41" t="s">
        <v>148</v>
      </c>
      <c r="U41" t="s">
        <v>158</v>
      </c>
      <c r="V41" t="s">
        <v>158</v>
      </c>
      <c r="W41" t="s">
        <v>159</v>
      </c>
      <c r="X41" t="s">
        <v>180</v>
      </c>
      <c r="Y41">
        <v>106825433001</v>
      </c>
      <c r="Z41" t="s">
        <v>181</v>
      </c>
      <c r="AB41" t="s">
        <v>61</v>
      </c>
    </row>
    <row r="42" spans="1:28" x14ac:dyDescent="0.25">
      <c r="A42">
        <v>190404</v>
      </c>
      <c r="B42" t="s">
        <v>177</v>
      </c>
      <c r="C42" s="21">
        <v>46190</v>
      </c>
      <c r="D42" t="s">
        <v>76</v>
      </c>
      <c r="E42" t="s">
        <v>77</v>
      </c>
      <c r="F42" t="s">
        <v>78</v>
      </c>
      <c r="G42" t="s">
        <v>78</v>
      </c>
      <c r="H42" t="s">
        <v>79</v>
      </c>
      <c r="I42" t="s">
        <v>79</v>
      </c>
      <c r="K42">
        <v>8</v>
      </c>
      <c r="L42">
        <v>0.01</v>
      </c>
      <c r="M42">
        <v>0.09</v>
      </c>
      <c r="N42">
        <v>0.11</v>
      </c>
      <c r="O42">
        <v>0.01</v>
      </c>
      <c r="P42">
        <v>0</v>
      </c>
      <c r="Q42">
        <v>0</v>
      </c>
      <c r="R42" t="s">
        <v>9</v>
      </c>
      <c r="S42" t="s">
        <v>54</v>
      </c>
      <c r="T42" t="s">
        <v>148</v>
      </c>
      <c r="U42" t="s">
        <v>158</v>
      </c>
      <c r="V42" t="s">
        <v>158</v>
      </c>
      <c r="W42" t="s">
        <v>159</v>
      </c>
      <c r="X42" t="s">
        <v>180</v>
      </c>
      <c r="Y42">
        <v>106825433001</v>
      </c>
      <c r="Z42" t="s">
        <v>181</v>
      </c>
      <c r="AB42" t="s">
        <v>61</v>
      </c>
    </row>
    <row r="43" spans="1:28" x14ac:dyDescent="0.25">
      <c r="A43">
        <v>190405</v>
      </c>
      <c r="B43" t="s">
        <v>177</v>
      </c>
      <c r="C43" s="21">
        <v>46190</v>
      </c>
      <c r="D43" t="s">
        <v>188</v>
      </c>
      <c r="E43" t="s">
        <v>189</v>
      </c>
      <c r="F43" t="s">
        <v>68</v>
      </c>
      <c r="G43" t="s">
        <v>68</v>
      </c>
      <c r="H43" t="s">
        <v>142</v>
      </c>
      <c r="I43" t="s">
        <v>142</v>
      </c>
      <c r="J43" t="s">
        <v>83</v>
      </c>
      <c r="K43">
        <v>1</v>
      </c>
      <c r="L43">
        <v>1.59</v>
      </c>
      <c r="M43">
        <v>1.59</v>
      </c>
      <c r="N43">
        <v>1.83</v>
      </c>
      <c r="O43">
        <v>1.1200000000000001</v>
      </c>
      <c r="P43">
        <v>0</v>
      </c>
      <c r="Q43">
        <v>0</v>
      </c>
      <c r="R43" t="s">
        <v>9</v>
      </c>
      <c r="S43" t="s">
        <v>54</v>
      </c>
      <c r="T43" t="s">
        <v>148</v>
      </c>
      <c r="U43" t="s">
        <v>158</v>
      </c>
      <c r="V43" t="s">
        <v>158</v>
      </c>
      <c r="W43" t="s">
        <v>159</v>
      </c>
      <c r="X43" t="s">
        <v>180</v>
      </c>
      <c r="Y43">
        <v>106825433001</v>
      </c>
      <c r="Z43" t="s">
        <v>181</v>
      </c>
      <c r="AB43" t="s">
        <v>61</v>
      </c>
    </row>
    <row r="44" spans="1:28" x14ac:dyDescent="0.25">
      <c r="A44">
        <v>190406</v>
      </c>
      <c r="B44" t="s">
        <v>177</v>
      </c>
      <c r="C44" s="21">
        <v>46190</v>
      </c>
      <c r="D44" t="s">
        <v>190</v>
      </c>
      <c r="E44" t="s">
        <v>191</v>
      </c>
      <c r="F44" t="s">
        <v>165</v>
      </c>
      <c r="G44" t="s">
        <v>165</v>
      </c>
      <c r="H44" t="s">
        <v>142</v>
      </c>
      <c r="I44" t="s">
        <v>142</v>
      </c>
      <c r="J44" t="s">
        <v>83</v>
      </c>
      <c r="K44">
        <v>1</v>
      </c>
      <c r="L44">
        <v>4.3099999999999996</v>
      </c>
      <c r="M44">
        <v>4.3099999999999996</v>
      </c>
      <c r="N44">
        <v>4.96</v>
      </c>
      <c r="O44">
        <v>3.17</v>
      </c>
      <c r="P44">
        <v>0</v>
      </c>
      <c r="Q44">
        <v>0</v>
      </c>
      <c r="R44" t="s">
        <v>9</v>
      </c>
      <c r="S44" t="s">
        <v>54</v>
      </c>
      <c r="T44" t="s">
        <v>148</v>
      </c>
      <c r="U44" t="s">
        <v>158</v>
      </c>
      <c r="V44" t="s">
        <v>158</v>
      </c>
      <c r="W44" t="s">
        <v>159</v>
      </c>
      <c r="X44" t="s">
        <v>180</v>
      </c>
      <c r="Y44">
        <v>106825433001</v>
      </c>
      <c r="Z44" t="s">
        <v>181</v>
      </c>
      <c r="AB44" t="s">
        <v>61</v>
      </c>
    </row>
    <row r="45" spans="1:28" x14ac:dyDescent="0.25">
      <c r="A45">
        <v>190407</v>
      </c>
      <c r="B45" t="s">
        <v>177</v>
      </c>
      <c r="C45" s="21">
        <v>46190</v>
      </c>
      <c r="D45" t="s">
        <v>192</v>
      </c>
      <c r="E45" t="s">
        <v>193</v>
      </c>
      <c r="F45" t="s">
        <v>65</v>
      </c>
      <c r="G45" t="s">
        <v>65</v>
      </c>
      <c r="H45" t="s">
        <v>69</v>
      </c>
      <c r="I45" t="s">
        <v>70</v>
      </c>
      <c r="J45" t="s">
        <v>53</v>
      </c>
      <c r="K45">
        <v>2</v>
      </c>
      <c r="L45">
        <v>0</v>
      </c>
      <c r="M45">
        <v>0</v>
      </c>
      <c r="N45">
        <v>0</v>
      </c>
      <c r="O45">
        <v>0</v>
      </c>
      <c r="P45">
        <v>0</v>
      </c>
      <c r="Q45">
        <v>100</v>
      </c>
      <c r="R45" t="s">
        <v>9</v>
      </c>
      <c r="S45" t="s">
        <v>54</v>
      </c>
      <c r="T45" t="s">
        <v>148</v>
      </c>
      <c r="U45" t="s">
        <v>158</v>
      </c>
      <c r="V45" t="s">
        <v>158</v>
      </c>
      <c r="W45" t="s">
        <v>159</v>
      </c>
      <c r="X45" t="s">
        <v>180</v>
      </c>
      <c r="Y45">
        <v>106825433001</v>
      </c>
      <c r="Z45" t="s">
        <v>181</v>
      </c>
      <c r="AB45" t="s">
        <v>61</v>
      </c>
    </row>
    <row r="46" spans="1:28" x14ac:dyDescent="0.25">
      <c r="A46">
        <v>190418</v>
      </c>
      <c r="B46" t="s">
        <v>194</v>
      </c>
      <c r="C46" s="21">
        <v>46190</v>
      </c>
      <c r="D46" t="s">
        <v>195</v>
      </c>
      <c r="E46" t="s">
        <v>196</v>
      </c>
      <c r="F46" t="s">
        <v>68</v>
      </c>
      <c r="G46" t="s">
        <v>68</v>
      </c>
      <c r="H46" t="s">
        <v>197</v>
      </c>
      <c r="I46" t="s">
        <v>197</v>
      </c>
      <c r="J46" t="s">
        <v>83</v>
      </c>
      <c r="K46">
        <v>2</v>
      </c>
      <c r="L46">
        <v>2.2799999999999998</v>
      </c>
      <c r="M46">
        <v>4.5599999999999996</v>
      </c>
      <c r="N46">
        <v>5.24</v>
      </c>
      <c r="O46">
        <v>1.69</v>
      </c>
      <c r="P46">
        <v>0</v>
      </c>
      <c r="Q46">
        <v>0</v>
      </c>
      <c r="R46" t="s">
        <v>9</v>
      </c>
      <c r="S46" t="s">
        <v>54</v>
      </c>
      <c r="T46" t="s">
        <v>148</v>
      </c>
      <c r="U46" t="s">
        <v>158</v>
      </c>
      <c r="V46" t="s">
        <v>158</v>
      </c>
      <c r="W46" t="s">
        <v>159</v>
      </c>
      <c r="X46" t="s">
        <v>198</v>
      </c>
      <c r="Y46">
        <v>195116555001</v>
      </c>
      <c r="Z46" t="s">
        <v>199</v>
      </c>
      <c r="AB46" t="s">
        <v>61</v>
      </c>
    </row>
    <row r="47" spans="1:28" hidden="1" x14ac:dyDescent="0.25">
      <c r="A47">
        <v>190470</v>
      </c>
      <c r="B47" t="s">
        <v>200</v>
      </c>
      <c r="C47" s="21">
        <v>46190</v>
      </c>
      <c r="D47" t="s">
        <v>201</v>
      </c>
      <c r="E47" t="s">
        <v>202</v>
      </c>
      <c r="F47" t="s">
        <v>89</v>
      </c>
      <c r="G47" t="s">
        <v>89</v>
      </c>
      <c r="H47" t="s">
        <v>129</v>
      </c>
      <c r="I47" t="s">
        <v>129</v>
      </c>
      <c r="J47" t="s">
        <v>53</v>
      </c>
      <c r="K47">
        <v>-10</v>
      </c>
      <c r="L47">
        <v>2.46</v>
      </c>
      <c r="M47">
        <v>-24.6</v>
      </c>
      <c r="N47">
        <v>-28.29</v>
      </c>
      <c r="O47">
        <v>1.7</v>
      </c>
      <c r="P47">
        <v>0</v>
      </c>
      <c r="Q47">
        <v>0</v>
      </c>
      <c r="R47" t="s">
        <v>9</v>
      </c>
      <c r="S47" t="s">
        <v>54</v>
      </c>
      <c r="T47" t="s">
        <v>148</v>
      </c>
      <c r="U47" t="s">
        <v>56</v>
      </c>
      <c r="V47" t="s">
        <v>56</v>
      </c>
      <c r="W47" t="s">
        <v>57</v>
      </c>
      <c r="X47" t="s">
        <v>130</v>
      </c>
      <c r="Y47">
        <v>914434337001</v>
      </c>
      <c r="Z47" t="s">
        <v>131</v>
      </c>
      <c r="AA47" t="s">
        <v>60</v>
      </c>
      <c r="AB47" t="s">
        <v>61</v>
      </c>
    </row>
    <row r="48" spans="1:28" hidden="1" x14ac:dyDescent="0.25">
      <c r="A48">
        <v>190471</v>
      </c>
      <c r="B48" t="s">
        <v>200</v>
      </c>
      <c r="C48" s="21">
        <v>46190</v>
      </c>
      <c r="D48" t="s">
        <v>96</v>
      </c>
      <c r="E48" t="s">
        <v>97</v>
      </c>
      <c r="F48" t="s">
        <v>98</v>
      </c>
      <c r="G48" t="s">
        <v>98</v>
      </c>
      <c r="H48" t="s">
        <v>79</v>
      </c>
      <c r="I48" t="s">
        <v>79</v>
      </c>
      <c r="K48">
        <v>-1</v>
      </c>
      <c r="L48">
        <v>1</v>
      </c>
      <c r="M48">
        <v>-1</v>
      </c>
      <c r="N48">
        <v>-1.1499999999999999</v>
      </c>
      <c r="O48">
        <v>0</v>
      </c>
      <c r="P48">
        <v>0</v>
      </c>
      <c r="Q48">
        <v>0</v>
      </c>
      <c r="R48" t="s">
        <v>9</v>
      </c>
      <c r="S48" t="s">
        <v>54</v>
      </c>
      <c r="T48" t="s">
        <v>148</v>
      </c>
      <c r="U48" t="s">
        <v>56</v>
      </c>
      <c r="V48" t="s">
        <v>56</v>
      </c>
      <c r="W48" t="s">
        <v>57</v>
      </c>
      <c r="X48" t="s">
        <v>130</v>
      </c>
      <c r="Y48">
        <v>914434337001</v>
      </c>
      <c r="Z48" t="s">
        <v>131</v>
      </c>
      <c r="AA48" t="s">
        <v>60</v>
      </c>
      <c r="AB48" t="s">
        <v>61</v>
      </c>
    </row>
    <row r="49" spans="1:28" hidden="1" x14ac:dyDescent="0.25">
      <c r="A49">
        <v>190477</v>
      </c>
      <c r="B49" t="s">
        <v>203</v>
      </c>
      <c r="C49" s="21">
        <v>46190</v>
      </c>
      <c r="D49" t="s">
        <v>204</v>
      </c>
      <c r="E49" t="s">
        <v>205</v>
      </c>
      <c r="F49" t="s">
        <v>68</v>
      </c>
      <c r="G49" t="s">
        <v>68</v>
      </c>
      <c r="H49" t="s">
        <v>206</v>
      </c>
      <c r="I49" t="s">
        <v>206</v>
      </c>
      <c r="J49" t="s">
        <v>83</v>
      </c>
      <c r="K49">
        <v>1</v>
      </c>
      <c r="L49">
        <v>2.79</v>
      </c>
      <c r="M49">
        <v>2.79</v>
      </c>
      <c r="N49">
        <v>3.21</v>
      </c>
      <c r="O49">
        <v>2.0699999999999998</v>
      </c>
      <c r="P49">
        <v>0</v>
      </c>
      <c r="Q49">
        <v>0</v>
      </c>
      <c r="R49" t="s">
        <v>9</v>
      </c>
      <c r="S49" t="s">
        <v>54</v>
      </c>
      <c r="T49" t="s">
        <v>55</v>
      </c>
      <c r="U49" t="s">
        <v>149</v>
      </c>
      <c r="V49" t="s">
        <v>149</v>
      </c>
      <c r="W49" t="s">
        <v>150</v>
      </c>
      <c r="X49" t="s">
        <v>207</v>
      </c>
      <c r="Y49">
        <v>102114675001</v>
      </c>
      <c r="Z49" t="s">
        <v>208</v>
      </c>
      <c r="AA49" t="s">
        <v>60</v>
      </c>
      <c r="AB49" t="s">
        <v>61</v>
      </c>
    </row>
    <row r="50" spans="1:28" hidden="1" x14ac:dyDescent="0.25">
      <c r="A50">
        <v>190478</v>
      </c>
      <c r="B50" t="s">
        <v>203</v>
      </c>
      <c r="C50" s="21">
        <v>46190</v>
      </c>
      <c r="D50" t="s">
        <v>209</v>
      </c>
      <c r="E50" t="s">
        <v>210</v>
      </c>
      <c r="F50" t="s">
        <v>165</v>
      </c>
      <c r="G50" t="s">
        <v>165</v>
      </c>
      <c r="H50" t="s">
        <v>211</v>
      </c>
      <c r="I50" t="s">
        <v>211</v>
      </c>
      <c r="J50" t="s">
        <v>83</v>
      </c>
      <c r="K50">
        <v>1</v>
      </c>
      <c r="L50">
        <v>9.27</v>
      </c>
      <c r="M50">
        <v>9.27</v>
      </c>
      <c r="N50">
        <v>10.66</v>
      </c>
      <c r="O50">
        <v>6.39</v>
      </c>
      <c r="P50">
        <v>0</v>
      </c>
      <c r="Q50">
        <v>0</v>
      </c>
      <c r="R50" t="s">
        <v>9</v>
      </c>
      <c r="S50" t="s">
        <v>54</v>
      </c>
      <c r="T50" t="s">
        <v>55</v>
      </c>
      <c r="U50" t="s">
        <v>149</v>
      </c>
      <c r="V50" t="s">
        <v>149</v>
      </c>
      <c r="W50" t="s">
        <v>150</v>
      </c>
      <c r="X50" t="s">
        <v>207</v>
      </c>
      <c r="Y50">
        <v>102114675001</v>
      </c>
      <c r="Z50" t="s">
        <v>208</v>
      </c>
      <c r="AA50" t="s">
        <v>60</v>
      </c>
      <c r="AB50" t="s">
        <v>61</v>
      </c>
    </row>
    <row r="51" spans="1:28" hidden="1" x14ac:dyDescent="0.25">
      <c r="A51">
        <v>190479</v>
      </c>
      <c r="B51" t="s">
        <v>203</v>
      </c>
      <c r="C51" s="21">
        <v>46190</v>
      </c>
      <c r="D51" t="s">
        <v>212</v>
      </c>
      <c r="E51" t="s">
        <v>213</v>
      </c>
      <c r="F51" t="s">
        <v>146</v>
      </c>
      <c r="G51" t="s">
        <v>146</v>
      </c>
      <c r="H51" t="s">
        <v>197</v>
      </c>
      <c r="I51" t="s">
        <v>197</v>
      </c>
      <c r="J51" t="s">
        <v>83</v>
      </c>
      <c r="K51">
        <v>1</v>
      </c>
      <c r="L51">
        <v>4.83</v>
      </c>
      <c r="M51">
        <v>4.83</v>
      </c>
      <c r="N51">
        <v>5.55</v>
      </c>
      <c r="O51">
        <v>3.6</v>
      </c>
      <c r="P51">
        <v>0</v>
      </c>
      <c r="Q51">
        <v>0</v>
      </c>
      <c r="R51" t="s">
        <v>9</v>
      </c>
      <c r="S51" t="s">
        <v>54</v>
      </c>
      <c r="T51" t="s">
        <v>55</v>
      </c>
      <c r="U51" t="s">
        <v>149</v>
      </c>
      <c r="V51" t="s">
        <v>149</v>
      </c>
      <c r="W51" t="s">
        <v>150</v>
      </c>
      <c r="X51" t="s">
        <v>207</v>
      </c>
      <c r="Y51">
        <v>102114675001</v>
      </c>
      <c r="Z51" t="s">
        <v>208</v>
      </c>
      <c r="AA51" t="s">
        <v>60</v>
      </c>
      <c r="AB51" t="s">
        <v>61</v>
      </c>
    </row>
    <row r="52" spans="1:28" hidden="1" x14ac:dyDescent="0.25">
      <c r="A52">
        <v>190480</v>
      </c>
      <c r="B52" t="s">
        <v>203</v>
      </c>
      <c r="C52" s="21">
        <v>46190</v>
      </c>
      <c r="D52" t="s">
        <v>214</v>
      </c>
      <c r="E52" t="s">
        <v>215</v>
      </c>
      <c r="F52" t="s">
        <v>146</v>
      </c>
      <c r="G52" t="s">
        <v>146</v>
      </c>
      <c r="H52" t="s">
        <v>216</v>
      </c>
      <c r="I52" t="s">
        <v>216</v>
      </c>
      <c r="J52" t="s">
        <v>83</v>
      </c>
      <c r="K52">
        <v>1</v>
      </c>
      <c r="L52">
        <v>4.7</v>
      </c>
      <c r="M52">
        <v>4.7</v>
      </c>
      <c r="N52">
        <v>5.41</v>
      </c>
      <c r="O52">
        <v>3.37</v>
      </c>
      <c r="P52">
        <v>0</v>
      </c>
      <c r="Q52">
        <v>0</v>
      </c>
      <c r="R52" t="s">
        <v>9</v>
      </c>
      <c r="S52" t="s">
        <v>54</v>
      </c>
      <c r="T52" t="s">
        <v>55</v>
      </c>
      <c r="U52" t="s">
        <v>149</v>
      </c>
      <c r="V52" t="s">
        <v>149</v>
      </c>
      <c r="W52" t="s">
        <v>150</v>
      </c>
      <c r="X52" t="s">
        <v>207</v>
      </c>
      <c r="Y52">
        <v>102114675001</v>
      </c>
      <c r="Z52" t="s">
        <v>208</v>
      </c>
      <c r="AA52" t="s">
        <v>60</v>
      </c>
      <c r="AB52" t="s">
        <v>61</v>
      </c>
    </row>
    <row r="53" spans="1:28" hidden="1" x14ac:dyDescent="0.25">
      <c r="A53">
        <v>190542</v>
      </c>
      <c r="B53" t="s">
        <v>217</v>
      </c>
      <c r="C53" s="21">
        <v>46190</v>
      </c>
      <c r="D53" t="s">
        <v>218</v>
      </c>
      <c r="E53" t="s">
        <v>219</v>
      </c>
      <c r="F53" t="s">
        <v>68</v>
      </c>
      <c r="G53" t="s">
        <v>68</v>
      </c>
      <c r="H53" t="s">
        <v>220</v>
      </c>
      <c r="I53" t="s">
        <v>220</v>
      </c>
      <c r="J53" t="s">
        <v>83</v>
      </c>
      <c r="K53">
        <v>1</v>
      </c>
      <c r="L53">
        <v>2.17</v>
      </c>
      <c r="M53">
        <v>2.17</v>
      </c>
      <c r="N53">
        <v>2.5</v>
      </c>
      <c r="O53">
        <v>1.03</v>
      </c>
      <c r="P53">
        <v>0</v>
      </c>
      <c r="Q53">
        <v>0</v>
      </c>
      <c r="R53" t="s">
        <v>9</v>
      </c>
      <c r="S53" t="s">
        <v>54</v>
      </c>
      <c r="T53" t="s">
        <v>55</v>
      </c>
      <c r="U53" t="s">
        <v>149</v>
      </c>
      <c r="V53" t="s">
        <v>149</v>
      </c>
      <c r="W53" t="s">
        <v>150</v>
      </c>
      <c r="X53" t="s">
        <v>221</v>
      </c>
      <c r="Y53">
        <v>190490777001</v>
      </c>
      <c r="Z53" t="s">
        <v>222</v>
      </c>
      <c r="AB53" t="s">
        <v>61</v>
      </c>
    </row>
    <row r="54" spans="1:28" hidden="1" x14ac:dyDescent="0.25">
      <c r="A54">
        <v>190569</v>
      </c>
      <c r="B54" t="s">
        <v>223</v>
      </c>
      <c r="C54" s="21">
        <v>46190</v>
      </c>
      <c r="D54" t="s">
        <v>224</v>
      </c>
      <c r="E54" t="s">
        <v>225</v>
      </c>
      <c r="F54" t="s">
        <v>146</v>
      </c>
      <c r="G54" t="s">
        <v>146</v>
      </c>
      <c r="H54" t="s">
        <v>69</v>
      </c>
      <c r="I54" t="s">
        <v>70</v>
      </c>
      <c r="J54" t="s">
        <v>71</v>
      </c>
      <c r="K54">
        <v>1</v>
      </c>
      <c r="L54">
        <v>2.83</v>
      </c>
      <c r="M54">
        <v>2.83</v>
      </c>
      <c r="N54">
        <v>3.25</v>
      </c>
      <c r="O54">
        <v>1.66</v>
      </c>
      <c r="P54">
        <v>0</v>
      </c>
      <c r="Q54">
        <v>0</v>
      </c>
      <c r="R54" t="s">
        <v>9</v>
      </c>
      <c r="S54" t="s">
        <v>54</v>
      </c>
      <c r="T54" t="s">
        <v>55</v>
      </c>
      <c r="U54" t="s">
        <v>149</v>
      </c>
      <c r="V54" t="s">
        <v>149</v>
      </c>
      <c r="W54" t="s">
        <v>150</v>
      </c>
      <c r="X54" t="s">
        <v>226</v>
      </c>
      <c r="Y54">
        <v>190500713001</v>
      </c>
      <c r="Z54" t="s">
        <v>227</v>
      </c>
      <c r="AB54" t="s">
        <v>61</v>
      </c>
    </row>
    <row r="55" spans="1:28" hidden="1" x14ac:dyDescent="0.25">
      <c r="A55">
        <v>190570</v>
      </c>
      <c r="B55" t="s">
        <v>223</v>
      </c>
      <c r="C55" s="21">
        <v>46190</v>
      </c>
      <c r="D55" t="s">
        <v>228</v>
      </c>
      <c r="E55" t="s">
        <v>229</v>
      </c>
      <c r="F55" t="s">
        <v>230</v>
      </c>
      <c r="G55" t="s">
        <v>230</v>
      </c>
      <c r="H55" t="s">
        <v>71</v>
      </c>
      <c r="I55" t="s">
        <v>71</v>
      </c>
      <c r="J55" t="s">
        <v>83</v>
      </c>
      <c r="K55">
        <v>1</v>
      </c>
      <c r="L55">
        <v>17.73</v>
      </c>
      <c r="M55">
        <v>17.73</v>
      </c>
      <c r="N55">
        <v>20.39</v>
      </c>
      <c r="O55">
        <v>12.65</v>
      </c>
      <c r="P55">
        <v>0</v>
      </c>
      <c r="Q55">
        <v>0</v>
      </c>
      <c r="R55" t="s">
        <v>9</v>
      </c>
      <c r="S55" t="s">
        <v>54</v>
      </c>
      <c r="T55" t="s">
        <v>55</v>
      </c>
      <c r="U55" t="s">
        <v>149</v>
      </c>
      <c r="V55" t="s">
        <v>149</v>
      </c>
      <c r="W55" t="s">
        <v>150</v>
      </c>
      <c r="X55" t="s">
        <v>226</v>
      </c>
      <c r="Y55">
        <v>190500713001</v>
      </c>
      <c r="Z55" t="s">
        <v>227</v>
      </c>
      <c r="AB55" t="s">
        <v>61</v>
      </c>
    </row>
    <row r="56" spans="1:28" hidden="1" x14ac:dyDescent="0.25">
      <c r="A56">
        <v>190571</v>
      </c>
      <c r="B56" t="s">
        <v>223</v>
      </c>
      <c r="C56" s="21">
        <v>46190</v>
      </c>
      <c r="D56" t="s">
        <v>231</v>
      </c>
      <c r="E56" t="s">
        <v>232</v>
      </c>
      <c r="F56" t="s">
        <v>146</v>
      </c>
      <c r="G56" t="s">
        <v>146</v>
      </c>
      <c r="H56" t="s">
        <v>197</v>
      </c>
      <c r="I56" t="s">
        <v>197</v>
      </c>
      <c r="J56" t="s">
        <v>83</v>
      </c>
      <c r="K56">
        <v>1</v>
      </c>
      <c r="L56">
        <v>3.4</v>
      </c>
      <c r="M56">
        <v>3.4</v>
      </c>
      <c r="N56">
        <v>3.91</v>
      </c>
      <c r="O56">
        <v>2.5299999999999998</v>
      </c>
      <c r="P56">
        <v>0</v>
      </c>
      <c r="Q56">
        <v>0</v>
      </c>
      <c r="R56" t="s">
        <v>9</v>
      </c>
      <c r="S56" t="s">
        <v>54</v>
      </c>
      <c r="T56" t="s">
        <v>55</v>
      </c>
      <c r="U56" t="s">
        <v>149</v>
      </c>
      <c r="V56" t="s">
        <v>149</v>
      </c>
      <c r="W56" t="s">
        <v>150</v>
      </c>
      <c r="X56" t="s">
        <v>226</v>
      </c>
      <c r="Y56">
        <v>190500713001</v>
      </c>
      <c r="Z56" t="s">
        <v>227</v>
      </c>
      <c r="AB56" t="s">
        <v>61</v>
      </c>
    </row>
    <row r="57" spans="1:28" hidden="1" x14ac:dyDescent="0.25">
      <c r="A57">
        <v>190572</v>
      </c>
      <c r="B57" t="s">
        <v>223</v>
      </c>
      <c r="C57" s="21">
        <v>46190</v>
      </c>
      <c r="D57" t="s">
        <v>233</v>
      </c>
      <c r="E57" t="s">
        <v>234</v>
      </c>
      <c r="F57" t="s">
        <v>235</v>
      </c>
      <c r="G57" t="s">
        <v>235</v>
      </c>
      <c r="H57" t="s">
        <v>142</v>
      </c>
      <c r="I57" t="s">
        <v>142</v>
      </c>
      <c r="J57" t="s">
        <v>83</v>
      </c>
      <c r="K57">
        <v>1</v>
      </c>
      <c r="L57">
        <v>7.54</v>
      </c>
      <c r="M57">
        <v>7.54</v>
      </c>
      <c r="N57">
        <v>8.67</v>
      </c>
      <c r="O57">
        <v>4.87</v>
      </c>
      <c r="P57">
        <v>0</v>
      </c>
      <c r="Q57">
        <v>0</v>
      </c>
      <c r="R57" t="s">
        <v>9</v>
      </c>
      <c r="S57" t="s">
        <v>54</v>
      </c>
      <c r="T57" t="s">
        <v>55</v>
      </c>
      <c r="U57" t="s">
        <v>149</v>
      </c>
      <c r="V57" t="s">
        <v>149</v>
      </c>
      <c r="W57" t="s">
        <v>150</v>
      </c>
      <c r="X57" t="s">
        <v>226</v>
      </c>
      <c r="Y57">
        <v>190500713001</v>
      </c>
      <c r="Z57" t="s">
        <v>227</v>
      </c>
      <c r="AB57" t="s">
        <v>61</v>
      </c>
    </row>
    <row r="58" spans="1:28" hidden="1" x14ac:dyDescent="0.25">
      <c r="A58">
        <v>190593</v>
      </c>
      <c r="B58" t="s">
        <v>236</v>
      </c>
      <c r="C58" s="21">
        <v>46190</v>
      </c>
      <c r="D58" t="s">
        <v>76</v>
      </c>
      <c r="E58" t="s">
        <v>77</v>
      </c>
      <c r="F58" t="s">
        <v>78</v>
      </c>
      <c r="G58" t="s">
        <v>78</v>
      </c>
      <c r="H58" t="s">
        <v>79</v>
      </c>
      <c r="I58" t="s">
        <v>79</v>
      </c>
      <c r="K58">
        <v>80</v>
      </c>
      <c r="L58">
        <v>0.01</v>
      </c>
      <c r="M58">
        <v>0.93</v>
      </c>
      <c r="N58">
        <v>1.07</v>
      </c>
      <c r="O58">
        <v>0.01</v>
      </c>
      <c r="P58">
        <v>0</v>
      </c>
      <c r="Q58">
        <v>0</v>
      </c>
      <c r="R58" t="s">
        <v>9</v>
      </c>
      <c r="S58" t="s">
        <v>54</v>
      </c>
      <c r="T58" t="s">
        <v>148</v>
      </c>
      <c r="U58" t="s">
        <v>149</v>
      </c>
      <c r="V58" t="s">
        <v>149</v>
      </c>
      <c r="W58" t="s">
        <v>150</v>
      </c>
      <c r="X58" t="s">
        <v>237</v>
      </c>
      <c r="Y58">
        <v>993173894001</v>
      </c>
      <c r="Z58" t="s">
        <v>238</v>
      </c>
      <c r="AB58" t="s">
        <v>61</v>
      </c>
    </row>
    <row r="59" spans="1:28" hidden="1" x14ac:dyDescent="0.25">
      <c r="A59">
        <v>190594</v>
      </c>
      <c r="B59" t="s">
        <v>236</v>
      </c>
      <c r="C59" s="21">
        <v>46190</v>
      </c>
      <c r="D59" t="s">
        <v>239</v>
      </c>
      <c r="E59" t="s">
        <v>240</v>
      </c>
      <c r="F59" t="s">
        <v>51</v>
      </c>
      <c r="G59" t="s">
        <v>51</v>
      </c>
      <c r="H59" t="s">
        <v>82</v>
      </c>
      <c r="I59" t="s">
        <v>82</v>
      </c>
      <c r="J59" t="s">
        <v>83</v>
      </c>
      <c r="K59">
        <v>4</v>
      </c>
      <c r="L59">
        <v>28.27</v>
      </c>
      <c r="M59">
        <v>113.06</v>
      </c>
      <c r="N59">
        <v>130.02000000000001</v>
      </c>
      <c r="O59">
        <v>20.87</v>
      </c>
      <c r="P59">
        <v>0</v>
      </c>
      <c r="Q59">
        <v>0</v>
      </c>
      <c r="R59" t="s">
        <v>9</v>
      </c>
      <c r="S59" t="s">
        <v>54</v>
      </c>
      <c r="T59" t="s">
        <v>148</v>
      </c>
      <c r="U59" t="s">
        <v>149</v>
      </c>
      <c r="V59" t="s">
        <v>149</v>
      </c>
      <c r="W59" t="s">
        <v>150</v>
      </c>
      <c r="X59" t="s">
        <v>237</v>
      </c>
      <c r="Y59">
        <v>993173894001</v>
      </c>
      <c r="Z59" t="s">
        <v>238</v>
      </c>
      <c r="AB59" t="s">
        <v>61</v>
      </c>
    </row>
    <row r="60" spans="1:28" hidden="1" x14ac:dyDescent="0.25">
      <c r="A60">
        <v>190595</v>
      </c>
      <c r="B60" t="s">
        <v>241</v>
      </c>
      <c r="C60" s="21">
        <v>46190</v>
      </c>
      <c r="D60" t="s">
        <v>242</v>
      </c>
      <c r="E60" t="s">
        <v>243</v>
      </c>
      <c r="F60" t="s">
        <v>51</v>
      </c>
      <c r="G60" t="s">
        <v>51</v>
      </c>
      <c r="H60" t="s">
        <v>244</v>
      </c>
      <c r="I60" t="s">
        <v>244</v>
      </c>
      <c r="J60" t="s">
        <v>53</v>
      </c>
      <c r="K60">
        <v>1</v>
      </c>
      <c r="L60">
        <v>6.41</v>
      </c>
      <c r="M60">
        <v>6.41</v>
      </c>
      <c r="N60">
        <v>7.37</v>
      </c>
      <c r="O60">
        <v>4.03</v>
      </c>
      <c r="P60">
        <v>0</v>
      </c>
      <c r="Q60">
        <v>0</v>
      </c>
      <c r="R60" t="s">
        <v>9</v>
      </c>
      <c r="S60" t="s">
        <v>147</v>
      </c>
      <c r="T60" t="s">
        <v>148</v>
      </c>
      <c r="U60" t="s">
        <v>149</v>
      </c>
      <c r="V60" t="s">
        <v>149</v>
      </c>
      <c r="W60" t="s">
        <v>150</v>
      </c>
      <c r="X60" t="s">
        <v>245</v>
      </c>
      <c r="Y60">
        <v>103130555</v>
      </c>
      <c r="Z60" t="s">
        <v>246</v>
      </c>
    </row>
    <row r="61" spans="1:28" hidden="1" x14ac:dyDescent="0.25">
      <c r="A61">
        <v>190596</v>
      </c>
      <c r="B61" t="s">
        <v>241</v>
      </c>
      <c r="C61" s="21">
        <v>46190</v>
      </c>
      <c r="D61" t="s">
        <v>76</v>
      </c>
      <c r="E61" t="s">
        <v>77</v>
      </c>
      <c r="F61" t="s">
        <v>78</v>
      </c>
      <c r="G61" t="s">
        <v>78</v>
      </c>
      <c r="H61" t="s">
        <v>79</v>
      </c>
      <c r="I61" t="s">
        <v>79</v>
      </c>
      <c r="K61">
        <v>1</v>
      </c>
      <c r="L61">
        <v>0.01</v>
      </c>
      <c r="M61">
        <v>0.01</v>
      </c>
      <c r="N61">
        <v>0.01</v>
      </c>
      <c r="O61">
        <v>0.01</v>
      </c>
      <c r="P61">
        <v>0</v>
      </c>
      <c r="Q61">
        <v>0</v>
      </c>
      <c r="R61" t="s">
        <v>9</v>
      </c>
      <c r="S61" t="s">
        <v>147</v>
      </c>
      <c r="T61" t="s">
        <v>148</v>
      </c>
      <c r="U61" t="s">
        <v>149</v>
      </c>
      <c r="V61" t="s">
        <v>149</v>
      </c>
      <c r="W61" t="s">
        <v>150</v>
      </c>
      <c r="X61" t="s">
        <v>245</v>
      </c>
      <c r="Y61">
        <v>103130555</v>
      </c>
      <c r="Z61" t="s">
        <v>246</v>
      </c>
    </row>
    <row r="62" spans="1:28" hidden="1" x14ac:dyDescent="0.25">
      <c r="A62">
        <v>190599</v>
      </c>
      <c r="B62" t="s">
        <v>247</v>
      </c>
      <c r="C62" s="21">
        <v>46190</v>
      </c>
      <c r="D62" t="s">
        <v>248</v>
      </c>
      <c r="E62" t="s">
        <v>249</v>
      </c>
      <c r="F62" t="s">
        <v>94</v>
      </c>
      <c r="G62" t="s">
        <v>94</v>
      </c>
      <c r="H62" t="s">
        <v>95</v>
      </c>
      <c r="I62" t="s">
        <v>95</v>
      </c>
      <c r="J62" t="s">
        <v>71</v>
      </c>
      <c r="K62">
        <v>1</v>
      </c>
      <c r="L62">
        <v>18.75</v>
      </c>
      <c r="M62">
        <v>18.75</v>
      </c>
      <c r="N62">
        <v>21.56</v>
      </c>
      <c r="O62">
        <v>10.83</v>
      </c>
      <c r="P62">
        <v>0</v>
      </c>
      <c r="Q62">
        <v>0</v>
      </c>
      <c r="R62" t="s">
        <v>9</v>
      </c>
      <c r="S62" t="s">
        <v>54</v>
      </c>
      <c r="T62" t="s">
        <v>148</v>
      </c>
      <c r="U62" t="s">
        <v>149</v>
      </c>
      <c r="V62" t="s">
        <v>149</v>
      </c>
      <c r="W62" t="s">
        <v>150</v>
      </c>
      <c r="X62" t="s">
        <v>250</v>
      </c>
      <c r="Y62">
        <v>917949075001</v>
      </c>
      <c r="Z62" t="s">
        <v>251</v>
      </c>
      <c r="AB62" t="s">
        <v>61</v>
      </c>
    </row>
    <row r="63" spans="1:28" hidden="1" x14ac:dyDescent="0.25">
      <c r="A63">
        <v>190600</v>
      </c>
      <c r="B63" t="s">
        <v>247</v>
      </c>
      <c r="C63" s="21">
        <v>46190</v>
      </c>
      <c r="D63" t="s">
        <v>107</v>
      </c>
      <c r="E63" t="s">
        <v>108</v>
      </c>
      <c r="F63" t="s">
        <v>109</v>
      </c>
      <c r="G63" t="s">
        <v>109</v>
      </c>
      <c r="H63" t="s">
        <v>95</v>
      </c>
      <c r="I63" t="s">
        <v>95</v>
      </c>
      <c r="J63" t="s">
        <v>71</v>
      </c>
      <c r="K63">
        <v>1</v>
      </c>
      <c r="L63">
        <v>1.03</v>
      </c>
      <c r="M63">
        <v>0</v>
      </c>
      <c r="N63">
        <v>0</v>
      </c>
      <c r="O63">
        <v>0.75</v>
      </c>
      <c r="P63">
        <v>1.03</v>
      </c>
      <c r="Q63">
        <v>100</v>
      </c>
      <c r="R63" t="s">
        <v>9</v>
      </c>
      <c r="S63" t="s">
        <v>54</v>
      </c>
      <c r="T63" t="s">
        <v>148</v>
      </c>
      <c r="U63" t="s">
        <v>149</v>
      </c>
      <c r="V63" t="s">
        <v>149</v>
      </c>
      <c r="W63" t="s">
        <v>150</v>
      </c>
      <c r="X63" t="s">
        <v>250</v>
      </c>
      <c r="Y63">
        <v>917949075001</v>
      </c>
      <c r="Z63" t="s">
        <v>251</v>
      </c>
      <c r="AB63" t="s">
        <v>61</v>
      </c>
    </row>
    <row r="64" spans="1:28" x14ac:dyDescent="0.25">
      <c r="A64">
        <v>190601</v>
      </c>
      <c r="B64" t="s">
        <v>252</v>
      </c>
      <c r="C64" s="21">
        <v>46190</v>
      </c>
      <c r="D64" t="s">
        <v>178</v>
      </c>
      <c r="E64" t="s">
        <v>179</v>
      </c>
      <c r="F64" t="s">
        <v>65</v>
      </c>
      <c r="G64" t="s">
        <v>65</v>
      </c>
      <c r="H64" t="s">
        <v>69</v>
      </c>
      <c r="I64" t="s">
        <v>70</v>
      </c>
      <c r="K64">
        <v>5</v>
      </c>
      <c r="L64">
        <v>0.52</v>
      </c>
      <c r="M64">
        <v>0</v>
      </c>
      <c r="N64">
        <v>0</v>
      </c>
      <c r="O64">
        <v>0.26</v>
      </c>
      <c r="P64">
        <v>2.6</v>
      </c>
      <c r="Q64">
        <v>100</v>
      </c>
      <c r="R64" t="s">
        <v>9</v>
      </c>
      <c r="S64" t="s">
        <v>147</v>
      </c>
      <c r="T64" t="s">
        <v>148</v>
      </c>
      <c r="U64" t="s">
        <v>158</v>
      </c>
      <c r="V64" t="s">
        <v>158</v>
      </c>
      <c r="W64" t="s">
        <v>159</v>
      </c>
      <c r="X64">
        <v>2544</v>
      </c>
      <c r="Y64">
        <v>302302344001</v>
      </c>
      <c r="Z64" t="s">
        <v>253</v>
      </c>
    </row>
    <row r="65" spans="1:28" x14ac:dyDescent="0.25">
      <c r="A65">
        <v>190602</v>
      </c>
      <c r="B65" t="s">
        <v>252</v>
      </c>
      <c r="C65" s="21">
        <v>46190</v>
      </c>
      <c r="D65" t="s">
        <v>254</v>
      </c>
      <c r="E65" t="s">
        <v>255</v>
      </c>
      <c r="F65" t="s">
        <v>51</v>
      </c>
      <c r="G65" t="s">
        <v>51</v>
      </c>
      <c r="H65" t="s">
        <v>69</v>
      </c>
      <c r="I65" t="s">
        <v>70</v>
      </c>
      <c r="J65" t="s">
        <v>71</v>
      </c>
      <c r="K65">
        <v>5</v>
      </c>
      <c r="L65">
        <v>18.18</v>
      </c>
      <c r="M65">
        <v>90.91</v>
      </c>
      <c r="N65">
        <v>104.55</v>
      </c>
      <c r="O65">
        <v>8.77</v>
      </c>
      <c r="P65">
        <v>0</v>
      </c>
      <c r="Q65">
        <v>0</v>
      </c>
      <c r="R65" t="s">
        <v>9</v>
      </c>
      <c r="S65" t="s">
        <v>147</v>
      </c>
      <c r="T65" t="s">
        <v>148</v>
      </c>
      <c r="U65" t="s">
        <v>158</v>
      </c>
      <c r="V65" t="s">
        <v>158</v>
      </c>
      <c r="W65" t="s">
        <v>159</v>
      </c>
      <c r="X65">
        <v>2544</v>
      </c>
      <c r="Y65">
        <v>302302344001</v>
      </c>
      <c r="Z65" t="s">
        <v>253</v>
      </c>
    </row>
    <row r="66" spans="1:28" x14ac:dyDescent="0.25">
      <c r="A66">
        <v>190603</v>
      </c>
      <c r="B66" t="s">
        <v>252</v>
      </c>
      <c r="C66" s="21">
        <v>46190</v>
      </c>
      <c r="D66" t="s">
        <v>256</v>
      </c>
      <c r="E66" t="s">
        <v>257</v>
      </c>
      <c r="F66" t="s">
        <v>165</v>
      </c>
      <c r="G66" t="s">
        <v>165</v>
      </c>
      <c r="H66" t="s">
        <v>69</v>
      </c>
      <c r="I66" t="s">
        <v>70</v>
      </c>
      <c r="J66" t="s">
        <v>71</v>
      </c>
      <c r="K66">
        <v>1</v>
      </c>
      <c r="L66">
        <v>3.22</v>
      </c>
      <c r="M66">
        <v>3.22</v>
      </c>
      <c r="N66">
        <v>3.7</v>
      </c>
      <c r="O66">
        <v>1.08</v>
      </c>
      <c r="P66">
        <v>0</v>
      </c>
      <c r="Q66">
        <v>0</v>
      </c>
      <c r="R66" t="s">
        <v>9</v>
      </c>
      <c r="S66" t="s">
        <v>147</v>
      </c>
      <c r="T66" t="s">
        <v>148</v>
      </c>
      <c r="U66" t="s">
        <v>158</v>
      </c>
      <c r="V66" t="s">
        <v>158</v>
      </c>
      <c r="W66" t="s">
        <v>159</v>
      </c>
      <c r="X66">
        <v>2544</v>
      </c>
      <c r="Y66">
        <v>302302344001</v>
      </c>
      <c r="Z66" t="s">
        <v>253</v>
      </c>
    </row>
    <row r="67" spans="1:28" x14ac:dyDescent="0.25">
      <c r="A67">
        <v>190604</v>
      </c>
      <c r="B67" t="s">
        <v>252</v>
      </c>
      <c r="C67" s="21">
        <v>46190</v>
      </c>
      <c r="D67" t="s">
        <v>76</v>
      </c>
      <c r="E67" t="s">
        <v>77</v>
      </c>
      <c r="F67" t="s">
        <v>78</v>
      </c>
      <c r="G67" t="s">
        <v>78</v>
      </c>
      <c r="H67" t="s">
        <v>79</v>
      </c>
      <c r="I67" t="s">
        <v>79</v>
      </c>
      <c r="K67">
        <v>20</v>
      </c>
      <c r="L67">
        <v>0.01</v>
      </c>
      <c r="M67">
        <v>0.23</v>
      </c>
      <c r="N67">
        <v>0.27</v>
      </c>
      <c r="O67">
        <v>0.01</v>
      </c>
      <c r="P67">
        <v>0</v>
      </c>
      <c r="Q67">
        <v>0</v>
      </c>
      <c r="R67" t="s">
        <v>9</v>
      </c>
      <c r="S67" t="s">
        <v>147</v>
      </c>
      <c r="T67" t="s">
        <v>148</v>
      </c>
      <c r="U67" t="s">
        <v>158</v>
      </c>
      <c r="V67" t="s">
        <v>158</v>
      </c>
      <c r="W67" t="s">
        <v>159</v>
      </c>
      <c r="X67">
        <v>2544</v>
      </c>
      <c r="Y67">
        <v>302302344001</v>
      </c>
      <c r="Z67" t="s">
        <v>253</v>
      </c>
    </row>
    <row r="68" spans="1:28" x14ac:dyDescent="0.25">
      <c r="A68">
        <v>190605</v>
      </c>
      <c r="B68" t="s">
        <v>252</v>
      </c>
      <c r="C68" s="21">
        <v>46190</v>
      </c>
      <c r="D68" t="s">
        <v>258</v>
      </c>
      <c r="E68" t="s">
        <v>259</v>
      </c>
      <c r="F68" t="s">
        <v>260</v>
      </c>
      <c r="G68" t="s">
        <v>260</v>
      </c>
      <c r="H68" t="s">
        <v>261</v>
      </c>
      <c r="I68" t="s">
        <v>261</v>
      </c>
      <c r="J68" t="s">
        <v>83</v>
      </c>
      <c r="K68">
        <v>1</v>
      </c>
      <c r="L68">
        <v>10.43</v>
      </c>
      <c r="M68">
        <v>10.43</v>
      </c>
      <c r="N68">
        <v>12</v>
      </c>
      <c r="O68">
        <v>6.96</v>
      </c>
      <c r="P68">
        <v>0</v>
      </c>
      <c r="Q68">
        <v>0</v>
      </c>
      <c r="R68" t="s">
        <v>9</v>
      </c>
      <c r="S68" t="s">
        <v>147</v>
      </c>
      <c r="T68" t="s">
        <v>148</v>
      </c>
      <c r="U68" t="s">
        <v>158</v>
      </c>
      <c r="V68" t="s">
        <v>158</v>
      </c>
      <c r="W68" t="s">
        <v>159</v>
      </c>
      <c r="X68">
        <v>2544</v>
      </c>
      <c r="Y68">
        <v>302302344001</v>
      </c>
      <c r="Z68" t="s">
        <v>253</v>
      </c>
    </row>
    <row r="69" spans="1:28" x14ac:dyDescent="0.25">
      <c r="A69">
        <v>190606</v>
      </c>
      <c r="B69" t="s">
        <v>252</v>
      </c>
      <c r="C69" s="21">
        <v>46190</v>
      </c>
      <c r="D69" t="s">
        <v>262</v>
      </c>
      <c r="E69" t="s">
        <v>263</v>
      </c>
      <c r="F69" t="s">
        <v>146</v>
      </c>
      <c r="G69" t="s">
        <v>146</v>
      </c>
      <c r="H69" t="s">
        <v>264</v>
      </c>
      <c r="I69" t="s">
        <v>264</v>
      </c>
      <c r="J69" t="s">
        <v>53</v>
      </c>
      <c r="K69">
        <v>1</v>
      </c>
      <c r="L69">
        <v>13.91</v>
      </c>
      <c r="M69">
        <v>13.91</v>
      </c>
      <c r="N69">
        <v>16</v>
      </c>
      <c r="O69">
        <v>9.24</v>
      </c>
      <c r="P69">
        <v>0</v>
      </c>
      <c r="Q69">
        <v>0</v>
      </c>
      <c r="R69" t="s">
        <v>9</v>
      </c>
      <c r="S69" t="s">
        <v>147</v>
      </c>
      <c r="T69" t="s">
        <v>148</v>
      </c>
      <c r="U69" t="s">
        <v>158</v>
      </c>
      <c r="V69" t="s">
        <v>158</v>
      </c>
      <c r="W69" t="s">
        <v>159</v>
      </c>
      <c r="X69">
        <v>2544</v>
      </c>
      <c r="Y69">
        <v>302302344001</v>
      </c>
      <c r="Z69" t="s">
        <v>253</v>
      </c>
    </row>
    <row r="70" spans="1:28" x14ac:dyDescent="0.25">
      <c r="A70">
        <v>190607</v>
      </c>
      <c r="B70" t="s">
        <v>252</v>
      </c>
      <c r="C70" s="21">
        <v>46190</v>
      </c>
      <c r="D70" t="s">
        <v>265</v>
      </c>
      <c r="E70" t="s">
        <v>266</v>
      </c>
      <c r="F70" t="s">
        <v>78</v>
      </c>
      <c r="G70" t="s">
        <v>78</v>
      </c>
      <c r="H70" t="s">
        <v>267</v>
      </c>
      <c r="I70" t="s">
        <v>267</v>
      </c>
      <c r="J70" t="s">
        <v>53</v>
      </c>
      <c r="K70">
        <v>1</v>
      </c>
      <c r="L70">
        <v>2.0099999999999998</v>
      </c>
      <c r="M70">
        <v>2.0099999999999998</v>
      </c>
      <c r="N70">
        <v>2.31</v>
      </c>
      <c r="O70">
        <v>1.03</v>
      </c>
      <c r="P70">
        <v>0</v>
      </c>
      <c r="Q70">
        <v>0</v>
      </c>
      <c r="R70" t="s">
        <v>9</v>
      </c>
      <c r="S70" t="s">
        <v>147</v>
      </c>
      <c r="T70" t="s">
        <v>148</v>
      </c>
      <c r="U70" t="s">
        <v>158</v>
      </c>
      <c r="V70" t="s">
        <v>158</v>
      </c>
      <c r="W70" t="s">
        <v>159</v>
      </c>
      <c r="X70">
        <v>2544</v>
      </c>
      <c r="Y70">
        <v>302302344001</v>
      </c>
      <c r="Z70" t="s">
        <v>253</v>
      </c>
    </row>
    <row r="71" spans="1:28" x14ac:dyDescent="0.25">
      <c r="A71">
        <v>190608</v>
      </c>
      <c r="B71" t="s">
        <v>252</v>
      </c>
      <c r="C71" s="21">
        <v>46190</v>
      </c>
      <c r="D71" t="s">
        <v>268</v>
      </c>
      <c r="E71" t="s">
        <v>269</v>
      </c>
      <c r="F71" t="s">
        <v>260</v>
      </c>
      <c r="G71" t="s">
        <v>260</v>
      </c>
      <c r="H71" t="s">
        <v>270</v>
      </c>
      <c r="I71" t="s">
        <v>270</v>
      </c>
      <c r="J71" t="s">
        <v>83</v>
      </c>
      <c r="K71">
        <v>1</v>
      </c>
      <c r="L71">
        <v>24.8</v>
      </c>
      <c r="M71">
        <v>24.8</v>
      </c>
      <c r="N71">
        <v>28.52</v>
      </c>
      <c r="O71">
        <v>15.94</v>
      </c>
      <c r="P71">
        <v>0</v>
      </c>
      <c r="Q71">
        <v>0</v>
      </c>
      <c r="R71" t="s">
        <v>9</v>
      </c>
      <c r="S71" t="s">
        <v>147</v>
      </c>
      <c r="T71" t="s">
        <v>148</v>
      </c>
      <c r="U71" t="s">
        <v>158</v>
      </c>
      <c r="V71" t="s">
        <v>158</v>
      </c>
      <c r="W71" t="s">
        <v>159</v>
      </c>
      <c r="X71">
        <v>2544</v>
      </c>
      <c r="Y71">
        <v>302302344001</v>
      </c>
      <c r="Z71" t="s">
        <v>253</v>
      </c>
    </row>
    <row r="72" spans="1:28" x14ac:dyDescent="0.25">
      <c r="A72">
        <v>190609</v>
      </c>
      <c r="B72" t="s">
        <v>252</v>
      </c>
      <c r="C72" s="21">
        <v>46190</v>
      </c>
      <c r="D72" t="s">
        <v>271</v>
      </c>
      <c r="E72" t="s">
        <v>272</v>
      </c>
      <c r="F72" t="s">
        <v>260</v>
      </c>
      <c r="G72" t="s">
        <v>260</v>
      </c>
      <c r="H72" t="s">
        <v>270</v>
      </c>
      <c r="I72" t="s">
        <v>270</v>
      </c>
      <c r="J72" t="s">
        <v>83</v>
      </c>
      <c r="K72">
        <v>1</v>
      </c>
      <c r="L72">
        <v>9.4499999999999993</v>
      </c>
      <c r="M72">
        <v>9.4499999999999993</v>
      </c>
      <c r="N72">
        <v>10.87</v>
      </c>
      <c r="O72">
        <v>4.72</v>
      </c>
      <c r="P72">
        <v>0</v>
      </c>
      <c r="Q72">
        <v>0</v>
      </c>
      <c r="R72" t="s">
        <v>9</v>
      </c>
      <c r="S72" t="s">
        <v>147</v>
      </c>
      <c r="T72" t="s">
        <v>148</v>
      </c>
      <c r="U72" t="s">
        <v>158</v>
      </c>
      <c r="V72" t="s">
        <v>158</v>
      </c>
      <c r="W72" t="s">
        <v>159</v>
      </c>
      <c r="X72">
        <v>2544</v>
      </c>
      <c r="Y72">
        <v>302302344001</v>
      </c>
      <c r="Z72" t="s">
        <v>253</v>
      </c>
    </row>
    <row r="73" spans="1:28" x14ac:dyDescent="0.25">
      <c r="A73">
        <v>190610</v>
      </c>
      <c r="B73" t="s">
        <v>252</v>
      </c>
      <c r="C73" s="21">
        <v>46190</v>
      </c>
      <c r="D73" t="s">
        <v>273</v>
      </c>
      <c r="E73" t="s">
        <v>274</v>
      </c>
      <c r="F73" t="s">
        <v>235</v>
      </c>
      <c r="G73" t="s">
        <v>235</v>
      </c>
      <c r="H73" t="s">
        <v>142</v>
      </c>
      <c r="I73" t="s">
        <v>142</v>
      </c>
      <c r="J73" t="s">
        <v>83</v>
      </c>
      <c r="K73">
        <v>1</v>
      </c>
      <c r="L73">
        <v>4.38</v>
      </c>
      <c r="M73">
        <v>4.38</v>
      </c>
      <c r="N73">
        <v>5.03</v>
      </c>
      <c r="O73">
        <v>2.59</v>
      </c>
      <c r="P73">
        <v>0</v>
      </c>
      <c r="Q73">
        <v>0</v>
      </c>
      <c r="R73" t="s">
        <v>9</v>
      </c>
      <c r="S73" t="s">
        <v>147</v>
      </c>
      <c r="T73" t="s">
        <v>148</v>
      </c>
      <c r="U73" t="s">
        <v>158</v>
      </c>
      <c r="V73" t="s">
        <v>158</v>
      </c>
      <c r="W73" t="s">
        <v>159</v>
      </c>
      <c r="X73">
        <v>2544</v>
      </c>
      <c r="Y73">
        <v>302302344001</v>
      </c>
      <c r="Z73" t="s">
        <v>253</v>
      </c>
    </row>
    <row r="74" spans="1:28" x14ac:dyDescent="0.25">
      <c r="A74">
        <v>190611</v>
      </c>
      <c r="B74" t="s">
        <v>252</v>
      </c>
      <c r="C74" s="21">
        <v>46190</v>
      </c>
      <c r="D74" t="s">
        <v>275</v>
      </c>
      <c r="E74" t="s">
        <v>276</v>
      </c>
      <c r="F74" t="s">
        <v>146</v>
      </c>
      <c r="G74" t="s">
        <v>146</v>
      </c>
      <c r="H74" t="s">
        <v>142</v>
      </c>
      <c r="I74" t="s">
        <v>142</v>
      </c>
      <c r="J74" t="s">
        <v>83</v>
      </c>
      <c r="K74">
        <v>1</v>
      </c>
      <c r="L74">
        <v>5.4</v>
      </c>
      <c r="M74">
        <v>5.4</v>
      </c>
      <c r="N74">
        <v>6.21</v>
      </c>
      <c r="O74">
        <v>1.82</v>
      </c>
      <c r="P74">
        <v>0</v>
      </c>
      <c r="Q74">
        <v>0</v>
      </c>
      <c r="R74" t="s">
        <v>9</v>
      </c>
      <c r="S74" t="s">
        <v>147</v>
      </c>
      <c r="T74" t="s">
        <v>148</v>
      </c>
      <c r="U74" t="s">
        <v>158</v>
      </c>
      <c r="V74" t="s">
        <v>158</v>
      </c>
      <c r="W74" t="s">
        <v>159</v>
      </c>
      <c r="X74">
        <v>2544</v>
      </c>
      <c r="Y74">
        <v>302302344001</v>
      </c>
      <c r="Z74" t="s">
        <v>253</v>
      </c>
    </row>
    <row r="75" spans="1:28" x14ac:dyDescent="0.25">
      <c r="A75">
        <v>190612</v>
      </c>
      <c r="B75" t="s">
        <v>252</v>
      </c>
      <c r="C75" s="21">
        <v>46190</v>
      </c>
      <c r="D75" t="s">
        <v>192</v>
      </c>
      <c r="E75" t="s">
        <v>193</v>
      </c>
      <c r="F75" t="s">
        <v>65</v>
      </c>
      <c r="G75" t="s">
        <v>65</v>
      </c>
      <c r="H75" t="s">
        <v>69</v>
      </c>
      <c r="I75" t="s">
        <v>70</v>
      </c>
      <c r="J75" t="s">
        <v>53</v>
      </c>
      <c r="K75">
        <v>5</v>
      </c>
      <c r="L75">
        <v>0</v>
      </c>
      <c r="M75">
        <v>0</v>
      </c>
      <c r="N75">
        <v>0</v>
      </c>
      <c r="O75">
        <v>0</v>
      </c>
      <c r="P75">
        <v>0</v>
      </c>
      <c r="Q75">
        <v>100</v>
      </c>
      <c r="R75" t="s">
        <v>9</v>
      </c>
      <c r="S75" t="s">
        <v>147</v>
      </c>
      <c r="T75" t="s">
        <v>148</v>
      </c>
      <c r="U75" t="s">
        <v>158</v>
      </c>
      <c r="V75" t="s">
        <v>158</v>
      </c>
      <c r="W75" t="s">
        <v>159</v>
      </c>
      <c r="X75">
        <v>2544</v>
      </c>
      <c r="Y75">
        <v>302302344001</v>
      </c>
      <c r="Z75" t="s">
        <v>253</v>
      </c>
    </row>
    <row r="76" spans="1:28" hidden="1" x14ac:dyDescent="0.25">
      <c r="A76">
        <v>190613</v>
      </c>
      <c r="B76" t="s">
        <v>277</v>
      </c>
      <c r="C76" s="21">
        <v>46190</v>
      </c>
      <c r="D76" t="s">
        <v>278</v>
      </c>
      <c r="E76" t="s">
        <v>279</v>
      </c>
      <c r="F76" t="s">
        <v>68</v>
      </c>
      <c r="G76" t="s">
        <v>68</v>
      </c>
      <c r="H76" t="s">
        <v>69</v>
      </c>
      <c r="I76" t="s">
        <v>70</v>
      </c>
      <c r="J76" t="s">
        <v>71</v>
      </c>
      <c r="K76">
        <v>1</v>
      </c>
      <c r="L76">
        <v>1.96</v>
      </c>
      <c r="M76">
        <v>1.96</v>
      </c>
      <c r="N76">
        <v>2.25</v>
      </c>
      <c r="O76">
        <v>1.29</v>
      </c>
      <c r="P76">
        <v>0</v>
      </c>
      <c r="Q76">
        <v>0</v>
      </c>
      <c r="R76" t="s">
        <v>9</v>
      </c>
      <c r="S76" t="s">
        <v>54</v>
      </c>
      <c r="T76" t="s">
        <v>55</v>
      </c>
      <c r="U76" t="s">
        <v>149</v>
      </c>
      <c r="V76" t="s">
        <v>149</v>
      </c>
      <c r="W76" t="s">
        <v>150</v>
      </c>
      <c r="X76" t="s">
        <v>207</v>
      </c>
      <c r="Y76">
        <v>102114675001</v>
      </c>
      <c r="Z76" t="s">
        <v>208</v>
      </c>
      <c r="AA76" t="s">
        <v>60</v>
      </c>
      <c r="AB76" t="s">
        <v>61</v>
      </c>
    </row>
    <row r="77" spans="1:28" hidden="1" x14ac:dyDescent="0.25">
      <c r="A77">
        <v>190645</v>
      </c>
      <c r="B77" t="s">
        <v>280</v>
      </c>
      <c r="C77" s="21">
        <v>46190</v>
      </c>
      <c r="D77" t="s">
        <v>281</v>
      </c>
      <c r="E77" t="s">
        <v>282</v>
      </c>
      <c r="F77" t="s">
        <v>171</v>
      </c>
      <c r="G77" t="s">
        <v>171</v>
      </c>
      <c r="H77" t="s">
        <v>142</v>
      </c>
      <c r="I77" t="s">
        <v>142</v>
      </c>
      <c r="J77" t="s">
        <v>83</v>
      </c>
      <c r="K77">
        <v>1</v>
      </c>
      <c r="L77">
        <v>8.61</v>
      </c>
      <c r="M77">
        <v>8.61</v>
      </c>
      <c r="N77">
        <v>9.9</v>
      </c>
      <c r="O77">
        <v>5.0999999999999996</v>
      </c>
      <c r="P77">
        <v>0</v>
      </c>
      <c r="Q77">
        <v>0</v>
      </c>
      <c r="R77" t="s">
        <v>9</v>
      </c>
      <c r="S77" t="s">
        <v>54</v>
      </c>
      <c r="T77" t="s">
        <v>55</v>
      </c>
      <c r="U77" t="s">
        <v>149</v>
      </c>
      <c r="V77" t="s">
        <v>149</v>
      </c>
      <c r="W77" t="s">
        <v>150</v>
      </c>
      <c r="X77" t="s">
        <v>283</v>
      </c>
      <c r="Y77">
        <v>195155712001</v>
      </c>
      <c r="Z77" t="s">
        <v>284</v>
      </c>
    </row>
    <row r="78" spans="1:28" x14ac:dyDescent="0.25">
      <c r="A78">
        <v>190658</v>
      </c>
      <c r="B78" t="s">
        <v>285</v>
      </c>
      <c r="C78" s="21">
        <v>46190</v>
      </c>
      <c r="D78" t="s">
        <v>286</v>
      </c>
      <c r="E78" t="s">
        <v>287</v>
      </c>
      <c r="F78" t="s">
        <v>165</v>
      </c>
      <c r="G78" t="s">
        <v>165</v>
      </c>
      <c r="H78" t="s">
        <v>197</v>
      </c>
      <c r="I78" t="s">
        <v>197</v>
      </c>
      <c r="J78" t="s">
        <v>83</v>
      </c>
      <c r="K78">
        <v>2</v>
      </c>
      <c r="L78">
        <v>3.08</v>
      </c>
      <c r="M78">
        <v>6.16</v>
      </c>
      <c r="N78">
        <v>7.08</v>
      </c>
      <c r="O78">
        <v>2.27</v>
      </c>
      <c r="P78">
        <v>0</v>
      </c>
      <c r="Q78">
        <v>0</v>
      </c>
      <c r="R78" t="s">
        <v>9</v>
      </c>
      <c r="S78" t="s">
        <v>54</v>
      </c>
      <c r="T78" t="s">
        <v>148</v>
      </c>
      <c r="U78" t="s">
        <v>158</v>
      </c>
      <c r="V78" t="s">
        <v>158</v>
      </c>
      <c r="W78" t="s">
        <v>159</v>
      </c>
      <c r="X78" t="s">
        <v>198</v>
      </c>
      <c r="Y78">
        <v>195116555001</v>
      </c>
      <c r="Z78" t="s">
        <v>199</v>
      </c>
      <c r="AB78" t="s">
        <v>61</v>
      </c>
    </row>
    <row r="79" spans="1:28" hidden="1" x14ac:dyDescent="0.25">
      <c r="A79">
        <v>190685</v>
      </c>
      <c r="B79" t="s">
        <v>288</v>
      </c>
      <c r="C79" s="21">
        <v>46190</v>
      </c>
      <c r="D79" t="s">
        <v>289</v>
      </c>
      <c r="E79" t="s">
        <v>290</v>
      </c>
      <c r="F79" t="s">
        <v>165</v>
      </c>
      <c r="G79" t="s">
        <v>165</v>
      </c>
      <c r="H79" t="s">
        <v>69</v>
      </c>
      <c r="I79" t="s">
        <v>70</v>
      </c>
      <c r="J79" t="s">
        <v>71</v>
      </c>
      <c r="K79">
        <v>1</v>
      </c>
      <c r="L79">
        <v>2.93</v>
      </c>
      <c r="M79">
        <v>2.93</v>
      </c>
      <c r="N79">
        <v>3.37</v>
      </c>
      <c r="O79">
        <v>1.63</v>
      </c>
      <c r="P79">
        <v>0</v>
      </c>
      <c r="Q79">
        <v>0</v>
      </c>
      <c r="R79" t="s">
        <v>9</v>
      </c>
      <c r="S79" t="s">
        <v>54</v>
      </c>
      <c r="T79" t="s">
        <v>148</v>
      </c>
      <c r="U79" t="s">
        <v>149</v>
      </c>
      <c r="V79" t="s">
        <v>149</v>
      </c>
      <c r="W79" t="s">
        <v>150</v>
      </c>
      <c r="X79" t="s">
        <v>291</v>
      </c>
      <c r="Y79">
        <v>102352846001</v>
      </c>
      <c r="Z79" t="s">
        <v>292</v>
      </c>
      <c r="AB79" t="s">
        <v>61</v>
      </c>
    </row>
    <row r="80" spans="1:28" x14ac:dyDescent="0.25">
      <c r="A80">
        <v>190691</v>
      </c>
      <c r="B80" t="s">
        <v>293</v>
      </c>
      <c r="C80" s="21">
        <v>46190</v>
      </c>
      <c r="D80" t="s">
        <v>294</v>
      </c>
      <c r="E80" t="s">
        <v>295</v>
      </c>
      <c r="F80" t="s">
        <v>296</v>
      </c>
      <c r="G80" t="s">
        <v>296</v>
      </c>
      <c r="H80" t="s">
        <v>297</v>
      </c>
      <c r="I80" t="s">
        <v>297</v>
      </c>
      <c r="J80" t="s">
        <v>53</v>
      </c>
      <c r="K80">
        <v>2</v>
      </c>
      <c r="L80">
        <v>2.41</v>
      </c>
      <c r="M80">
        <v>4.83</v>
      </c>
      <c r="N80">
        <v>5.55</v>
      </c>
      <c r="O80">
        <v>1.89</v>
      </c>
      <c r="P80">
        <v>0</v>
      </c>
      <c r="Q80">
        <v>0</v>
      </c>
      <c r="R80" t="s">
        <v>9</v>
      </c>
      <c r="S80" t="s">
        <v>54</v>
      </c>
      <c r="T80" t="s">
        <v>55</v>
      </c>
      <c r="U80" t="s">
        <v>158</v>
      </c>
      <c r="V80" t="s">
        <v>158</v>
      </c>
      <c r="W80" t="s">
        <v>159</v>
      </c>
      <c r="X80" t="s">
        <v>283</v>
      </c>
      <c r="Y80">
        <v>195155712001</v>
      </c>
      <c r="Z80" t="s">
        <v>284</v>
      </c>
    </row>
    <row r="81" spans="1:28" hidden="1" x14ac:dyDescent="0.25">
      <c r="A81">
        <v>190700</v>
      </c>
      <c r="B81" t="s">
        <v>298</v>
      </c>
      <c r="C81" s="21">
        <v>46190</v>
      </c>
      <c r="D81" t="s">
        <v>299</v>
      </c>
      <c r="E81" t="s">
        <v>300</v>
      </c>
      <c r="F81" t="s">
        <v>301</v>
      </c>
      <c r="G81" t="s">
        <v>301</v>
      </c>
      <c r="H81" t="s">
        <v>302</v>
      </c>
      <c r="I81" t="s">
        <v>302</v>
      </c>
      <c r="J81" t="s">
        <v>83</v>
      </c>
      <c r="K81">
        <v>1</v>
      </c>
      <c r="L81">
        <v>10.1</v>
      </c>
      <c r="M81">
        <v>10.1</v>
      </c>
      <c r="N81">
        <v>11.62</v>
      </c>
      <c r="O81">
        <v>6.63</v>
      </c>
      <c r="P81">
        <v>0</v>
      </c>
      <c r="Q81">
        <v>0</v>
      </c>
      <c r="R81" t="s">
        <v>9</v>
      </c>
      <c r="S81" t="s">
        <v>147</v>
      </c>
      <c r="T81" t="s">
        <v>148</v>
      </c>
      <c r="U81" t="s">
        <v>149</v>
      </c>
      <c r="V81" t="s">
        <v>149</v>
      </c>
      <c r="W81" t="s">
        <v>150</v>
      </c>
      <c r="X81" t="s">
        <v>303</v>
      </c>
      <c r="Y81">
        <v>9999999999001</v>
      </c>
      <c r="Z81" t="s">
        <v>304</v>
      </c>
      <c r="AB81" t="s">
        <v>61</v>
      </c>
    </row>
    <row r="82" spans="1:28" hidden="1" x14ac:dyDescent="0.25">
      <c r="A82">
        <v>190701</v>
      </c>
      <c r="B82" t="s">
        <v>305</v>
      </c>
      <c r="C82" s="21">
        <v>46190</v>
      </c>
      <c r="D82" t="s">
        <v>306</v>
      </c>
      <c r="E82" t="s">
        <v>307</v>
      </c>
      <c r="F82" t="s">
        <v>89</v>
      </c>
      <c r="G82" t="s">
        <v>89</v>
      </c>
      <c r="H82" t="s">
        <v>69</v>
      </c>
      <c r="I82" t="s">
        <v>70</v>
      </c>
      <c r="J82" t="s">
        <v>71</v>
      </c>
      <c r="K82">
        <v>1</v>
      </c>
      <c r="L82">
        <v>2.83</v>
      </c>
      <c r="M82">
        <v>2.83</v>
      </c>
      <c r="N82">
        <v>3.25</v>
      </c>
      <c r="O82">
        <v>0.82</v>
      </c>
      <c r="P82">
        <v>0</v>
      </c>
      <c r="Q82">
        <v>0</v>
      </c>
      <c r="R82" t="s">
        <v>9</v>
      </c>
      <c r="S82" t="s">
        <v>147</v>
      </c>
      <c r="T82" t="s">
        <v>148</v>
      </c>
      <c r="U82" t="s">
        <v>149</v>
      </c>
      <c r="V82" t="s">
        <v>149</v>
      </c>
      <c r="W82" t="s">
        <v>150</v>
      </c>
      <c r="X82" t="s">
        <v>303</v>
      </c>
      <c r="Y82">
        <v>9999999999001</v>
      </c>
      <c r="Z82" t="s">
        <v>304</v>
      </c>
      <c r="AB82" t="s">
        <v>61</v>
      </c>
    </row>
    <row r="83" spans="1:28" x14ac:dyDescent="0.25">
      <c r="A83">
        <v>190724</v>
      </c>
      <c r="B83" t="s">
        <v>308</v>
      </c>
      <c r="C83" s="21">
        <v>46190</v>
      </c>
      <c r="D83" t="s">
        <v>309</v>
      </c>
      <c r="E83" t="s">
        <v>310</v>
      </c>
      <c r="F83" t="s">
        <v>68</v>
      </c>
      <c r="G83" t="s">
        <v>68</v>
      </c>
      <c r="H83" t="s">
        <v>69</v>
      </c>
      <c r="I83" t="s">
        <v>70</v>
      </c>
      <c r="J83" t="s">
        <v>71</v>
      </c>
      <c r="K83">
        <v>2</v>
      </c>
      <c r="L83">
        <v>1.56</v>
      </c>
      <c r="M83">
        <v>3.12</v>
      </c>
      <c r="N83">
        <v>3.59</v>
      </c>
      <c r="O83">
        <v>1.1200000000000001</v>
      </c>
      <c r="P83">
        <v>0</v>
      </c>
      <c r="Q83">
        <v>0</v>
      </c>
      <c r="R83" t="s">
        <v>9</v>
      </c>
      <c r="S83" t="s">
        <v>54</v>
      </c>
      <c r="T83" t="s">
        <v>55</v>
      </c>
      <c r="U83" t="s">
        <v>158</v>
      </c>
      <c r="V83" t="s">
        <v>158</v>
      </c>
      <c r="W83" t="s">
        <v>159</v>
      </c>
      <c r="X83" t="s">
        <v>311</v>
      </c>
      <c r="Y83">
        <v>102929361001</v>
      </c>
      <c r="Z83" t="s">
        <v>312</v>
      </c>
      <c r="AB83" t="s">
        <v>61</v>
      </c>
    </row>
    <row r="84" spans="1:28" x14ac:dyDescent="0.25">
      <c r="A84">
        <v>190725</v>
      </c>
      <c r="B84" t="s">
        <v>308</v>
      </c>
      <c r="C84" s="21">
        <v>46190</v>
      </c>
      <c r="D84" t="s">
        <v>313</v>
      </c>
      <c r="E84" t="s">
        <v>314</v>
      </c>
      <c r="F84" t="s">
        <v>68</v>
      </c>
      <c r="G84" t="s">
        <v>68</v>
      </c>
      <c r="H84" t="s">
        <v>69</v>
      </c>
      <c r="I84" t="s">
        <v>70</v>
      </c>
      <c r="J84" t="s">
        <v>71</v>
      </c>
      <c r="K84">
        <v>3</v>
      </c>
      <c r="L84">
        <v>1.56</v>
      </c>
      <c r="M84">
        <v>4.68</v>
      </c>
      <c r="N84">
        <v>5.38</v>
      </c>
      <c r="O84">
        <v>1.1200000000000001</v>
      </c>
      <c r="P84">
        <v>0</v>
      </c>
      <c r="Q84">
        <v>0</v>
      </c>
      <c r="R84" t="s">
        <v>9</v>
      </c>
      <c r="S84" t="s">
        <v>54</v>
      </c>
      <c r="T84" t="s">
        <v>55</v>
      </c>
      <c r="U84" t="s">
        <v>158</v>
      </c>
      <c r="V84" t="s">
        <v>158</v>
      </c>
      <c r="W84" t="s">
        <v>159</v>
      </c>
      <c r="X84" t="s">
        <v>311</v>
      </c>
      <c r="Y84">
        <v>102929361001</v>
      </c>
      <c r="Z84" t="s">
        <v>312</v>
      </c>
      <c r="AB84" t="s">
        <v>61</v>
      </c>
    </row>
    <row r="85" spans="1:28" x14ac:dyDescent="0.25">
      <c r="A85">
        <v>190726</v>
      </c>
      <c r="B85" t="s">
        <v>308</v>
      </c>
      <c r="C85" s="21">
        <v>46190</v>
      </c>
      <c r="D85" t="s">
        <v>315</v>
      </c>
      <c r="E85" t="s">
        <v>316</v>
      </c>
      <c r="F85" t="s">
        <v>165</v>
      </c>
      <c r="G85" t="s">
        <v>165</v>
      </c>
      <c r="H85" t="s">
        <v>69</v>
      </c>
      <c r="I85" t="s">
        <v>70</v>
      </c>
      <c r="J85" t="s">
        <v>71</v>
      </c>
      <c r="K85">
        <v>2</v>
      </c>
      <c r="L85">
        <v>2.1800000000000002</v>
      </c>
      <c r="M85">
        <v>4.3499999999999996</v>
      </c>
      <c r="N85">
        <v>5.01</v>
      </c>
      <c r="O85">
        <v>1.23</v>
      </c>
      <c r="P85">
        <v>0</v>
      </c>
      <c r="Q85">
        <v>0</v>
      </c>
      <c r="R85" t="s">
        <v>9</v>
      </c>
      <c r="S85" t="s">
        <v>54</v>
      </c>
      <c r="T85" t="s">
        <v>55</v>
      </c>
      <c r="U85" t="s">
        <v>158</v>
      </c>
      <c r="V85" t="s">
        <v>158</v>
      </c>
      <c r="W85" t="s">
        <v>159</v>
      </c>
      <c r="X85" t="s">
        <v>311</v>
      </c>
      <c r="Y85">
        <v>102929361001</v>
      </c>
      <c r="Z85" t="s">
        <v>312</v>
      </c>
      <c r="AB85" t="s">
        <v>61</v>
      </c>
    </row>
    <row r="86" spans="1:28" x14ac:dyDescent="0.25">
      <c r="A86">
        <v>190727</v>
      </c>
      <c r="B86" t="s">
        <v>308</v>
      </c>
      <c r="C86" s="21">
        <v>46190</v>
      </c>
      <c r="D86" t="s">
        <v>317</v>
      </c>
      <c r="E86" t="s">
        <v>318</v>
      </c>
      <c r="F86" t="s">
        <v>319</v>
      </c>
      <c r="G86" t="s">
        <v>319</v>
      </c>
      <c r="H86" t="s">
        <v>320</v>
      </c>
      <c r="I86" t="s">
        <v>320</v>
      </c>
      <c r="J86" t="s">
        <v>83</v>
      </c>
      <c r="K86">
        <v>30</v>
      </c>
      <c r="L86">
        <v>0.31</v>
      </c>
      <c r="M86">
        <v>9.3000000000000007</v>
      </c>
      <c r="N86">
        <v>10.7</v>
      </c>
      <c r="O86">
        <v>0.2</v>
      </c>
      <c r="P86">
        <v>0</v>
      </c>
      <c r="Q86">
        <v>0</v>
      </c>
      <c r="R86" t="s">
        <v>9</v>
      </c>
      <c r="S86" t="s">
        <v>54</v>
      </c>
      <c r="T86" t="s">
        <v>55</v>
      </c>
      <c r="U86" t="s">
        <v>158</v>
      </c>
      <c r="V86" t="s">
        <v>158</v>
      </c>
      <c r="W86" t="s">
        <v>159</v>
      </c>
      <c r="X86" t="s">
        <v>311</v>
      </c>
      <c r="Y86">
        <v>102929361001</v>
      </c>
      <c r="Z86" t="s">
        <v>312</v>
      </c>
      <c r="AB86" t="s">
        <v>61</v>
      </c>
    </row>
    <row r="87" spans="1:28" x14ac:dyDescent="0.25">
      <c r="A87">
        <v>190728</v>
      </c>
      <c r="B87" t="s">
        <v>308</v>
      </c>
      <c r="C87" s="21">
        <v>46190</v>
      </c>
      <c r="D87" t="s">
        <v>321</v>
      </c>
      <c r="E87" t="s">
        <v>322</v>
      </c>
      <c r="F87" t="s">
        <v>319</v>
      </c>
      <c r="G87" t="s">
        <v>319</v>
      </c>
      <c r="H87" t="s">
        <v>323</v>
      </c>
      <c r="I87" t="s">
        <v>323</v>
      </c>
      <c r="J87" t="s">
        <v>83</v>
      </c>
      <c r="K87">
        <v>20</v>
      </c>
      <c r="L87">
        <v>0.74</v>
      </c>
      <c r="M87">
        <v>14.8</v>
      </c>
      <c r="N87">
        <v>17.02</v>
      </c>
      <c r="O87">
        <v>0.53</v>
      </c>
      <c r="P87">
        <v>0</v>
      </c>
      <c r="Q87">
        <v>0</v>
      </c>
      <c r="R87" t="s">
        <v>9</v>
      </c>
      <c r="S87" t="s">
        <v>54</v>
      </c>
      <c r="T87" t="s">
        <v>55</v>
      </c>
      <c r="U87" t="s">
        <v>158</v>
      </c>
      <c r="V87" t="s">
        <v>158</v>
      </c>
      <c r="W87" t="s">
        <v>159</v>
      </c>
      <c r="X87" t="s">
        <v>311</v>
      </c>
      <c r="Y87">
        <v>102929361001</v>
      </c>
      <c r="Z87" t="s">
        <v>312</v>
      </c>
      <c r="AB87" t="s">
        <v>61</v>
      </c>
    </row>
    <row r="88" spans="1:28" x14ac:dyDescent="0.25">
      <c r="A88">
        <v>190729</v>
      </c>
      <c r="B88" t="s">
        <v>308</v>
      </c>
      <c r="C88" s="21">
        <v>46190</v>
      </c>
      <c r="D88" t="s">
        <v>324</v>
      </c>
      <c r="E88" t="s">
        <v>325</v>
      </c>
      <c r="F88" t="s">
        <v>165</v>
      </c>
      <c r="G88" t="s">
        <v>165</v>
      </c>
      <c r="H88" t="s">
        <v>142</v>
      </c>
      <c r="I88" t="s">
        <v>142</v>
      </c>
      <c r="J88" t="s">
        <v>83</v>
      </c>
      <c r="K88">
        <v>3</v>
      </c>
      <c r="L88">
        <v>5.38</v>
      </c>
      <c r="M88">
        <v>16.14</v>
      </c>
      <c r="N88">
        <v>18.559999999999999</v>
      </c>
      <c r="O88">
        <v>3.79</v>
      </c>
      <c r="P88">
        <v>0</v>
      </c>
      <c r="Q88">
        <v>0</v>
      </c>
      <c r="R88" t="s">
        <v>9</v>
      </c>
      <c r="S88" t="s">
        <v>54</v>
      </c>
      <c r="T88" t="s">
        <v>55</v>
      </c>
      <c r="U88" t="s">
        <v>158</v>
      </c>
      <c r="V88" t="s">
        <v>158</v>
      </c>
      <c r="W88" t="s">
        <v>159</v>
      </c>
      <c r="X88" t="s">
        <v>311</v>
      </c>
      <c r="Y88">
        <v>102929361001</v>
      </c>
      <c r="Z88" t="s">
        <v>312</v>
      </c>
      <c r="AB88" t="s">
        <v>61</v>
      </c>
    </row>
    <row r="89" spans="1:28" hidden="1" x14ac:dyDescent="0.25">
      <c r="A89">
        <v>190741</v>
      </c>
      <c r="B89" t="s">
        <v>326</v>
      </c>
      <c r="C89" s="21">
        <v>46190</v>
      </c>
      <c r="D89" t="s">
        <v>76</v>
      </c>
      <c r="E89" t="s">
        <v>77</v>
      </c>
      <c r="F89" t="s">
        <v>78</v>
      </c>
      <c r="G89" t="s">
        <v>78</v>
      </c>
      <c r="H89" t="s">
        <v>79</v>
      </c>
      <c r="I89" t="s">
        <v>79</v>
      </c>
      <c r="K89">
        <v>1</v>
      </c>
      <c r="L89">
        <v>0.01</v>
      </c>
      <c r="M89">
        <v>0.01</v>
      </c>
      <c r="N89">
        <v>0.01</v>
      </c>
      <c r="O89">
        <v>0.01</v>
      </c>
      <c r="P89">
        <v>0</v>
      </c>
      <c r="Q89">
        <v>0</v>
      </c>
      <c r="R89" t="s">
        <v>9</v>
      </c>
      <c r="S89" t="s">
        <v>147</v>
      </c>
      <c r="T89" t="s">
        <v>148</v>
      </c>
      <c r="U89" t="s">
        <v>149</v>
      </c>
      <c r="V89" t="s">
        <v>149</v>
      </c>
      <c r="W89" t="s">
        <v>150</v>
      </c>
      <c r="X89" t="s">
        <v>303</v>
      </c>
      <c r="Y89">
        <v>9999999999001</v>
      </c>
      <c r="Z89" t="s">
        <v>304</v>
      </c>
      <c r="AB89" t="s">
        <v>61</v>
      </c>
    </row>
    <row r="90" spans="1:28" hidden="1" x14ac:dyDescent="0.25">
      <c r="A90">
        <v>190742</v>
      </c>
      <c r="B90" t="s">
        <v>326</v>
      </c>
      <c r="C90" s="21">
        <v>46190</v>
      </c>
      <c r="D90" t="s">
        <v>327</v>
      </c>
      <c r="E90" t="s">
        <v>328</v>
      </c>
      <c r="F90" t="s">
        <v>51</v>
      </c>
      <c r="G90" t="s">
        <v>51</v>
      </c>
      <c r="H90" t="s">
        <v>125</v>
      </c>
      <c r="I90" t="s">
        <v>125</v>
      </c>
      <c r="J90" t="s">
        <v>83</v>
      </c>
      <c r="K90">
        <v>1</v>
      </c>
      <c r="L90">
        <v>4.6900000000000004</v>
      </c>
      <c r="M90">
        <v>4.6900000000000004</v>
      </c>
      <c r="N90">
        <v>5.4</v>
      </c>
      <c r="O90">
        <v>2.81</v>
      </c>
      <c r="P90">
        <v>0</v>
      </c>
      <c r="Q90">
        <v>0</v>
      </c>
      <c r="R90" t="s">
        <v>9</v>
      </c>
      <c r="S90" t="s">
        <v>147</v>
      </c>
      <c r="T90" t="s">
        <v>148</v>
      </c>
      <c r="U90" t="s">
        <v>149</v>
      </c>
      <c r="V90" t="s">
        <v>149</v>
      </c>
      <c r="W90" t="s">
        <v>150</v>
      </c>
      <c r="X90" t="s">
        <v>303</v>
      </c>
      <c r="Y90">
        <v>9999999999001</v>
      </c>
      <c r="Z90" t="s">
        <v>304</v>
      </c>
      <c r="AB90" t="s">
        <v>61</v>
      </c>
    </row>
    <row r="91" spans="1:28" hidden="1" x14ac:dyDescent="0.25">
      <c r="A91">
        <v>190767</v>
      </c>
      <c r="B91" t="s">
        <v>329</v>
      </c>
      <c r="C91" s="21">
        <v>46190</v>
      </c>
      <c r="D91" t="s">
        <v>76</v>
      </c>
      <c r="E91" t="s">
        <v>77</v>
      </c>
      <c r="F91" t="s">
        <v>78</v>
      </c>
      <c r="G91" t="s">
        <v>78</v>
      </c>
      <c r="H91" t="s">
        <v>79</v>
      </c>
      <c r="I91" t="s">
        <v>79</v>
      </c>
      <c r="K91">
        <v>1</v>
      </c>
      <c r="L91">
        <v>0.01</v>
      </c>
      <c r="M91">
        <v>0.01</v>
      </c>
      <c r="N91">
        <v>0.01</v>
      </c>
      <c r="O91">
        <v>0.01</v>
      </c>
      <c r="P91">
        <v>0</v>
      </c>
      <c r="Q91">
        <v>0</v>
      </c>
      <c r="R91" t="s">
        <v>9</v>
      </c>
      <c r="S91" t="s">
        <v>147</v>
      </c>
      <c r="T91" t="s">
        <v>148</v>
      </c>
      <c r="U91" t="s">
        <v>149</v>
      </c>
      <c r="V91" t="s">
        <v>149</v>
      </c>
      <c r="W91" t="s">
        <v>150</v>
      </c>
      <c r="X91" t="s">
        <v>303</v>
      </c>
      <c r="Y91">
        <v>9999999999001</v>
      </c>
      <c r="Z91" t="s">
        <v>304</v>
      </c>
      <c r="AB91" t="s">
        <v>61</v>
      </c>
    </row>
    <row r="92" spans="1:28" hidden="1" x14ac:dyDescent="0.25">
      <c r="A92">
        <v>190768</v>
      </c>
      <c r="B92" t="s">
        <v>329</v>
      </c>
      <c r="C92" s="21">
        <v>46190</v>
      </c>
      <c r="D92" t="s">
        <v>330</v>
      </c>
      <c r="E92" t="s">
        <v>331</v>
      </c>
      <c r="F92" t="s">
        <v>51</v>
      </c>
      <c r="G92" t="s">
        <v>51</v>
      </c>
      <c r="H92" t="s">
        <v>332</v>
      </c>
      <c r="I92" t="s">
        <v>332</v>
      </c>
      <c r="J92" t="s">
        <v>53</v>
      </c>
      <c r="K92">
        <v>1</v>
      </c>
      <c r="L92">
        <v>4.6500000000000004</v>
      </c>
      <c r="M92">
        <v>4.6500000000000004</v>
      </c>
      <c r="N92">
        <v>5.35</v>
      </c>
      <c r="O92">
        <v>2.73</v>
      </c>
      <c r="P92">
        <v>0</v>
      </c>
      <c r="Q92">
        <v>0</v>
      </c>
      <c r="R92" t="s">
        <v>9</v>
      </c>
      <c r="S92" t="s">
        <v>147</v>
      </c>
      <c r="T92" t="s">
        <v>148</v>
      </c>
      <c r="U92" t="s">
        <v>149</v>
      </c>
      <c r="V92" t="s">
        <v>149</v>
      </c>
      <c r="W92" t="s">
        <v>150</v>
      </c>
      <c r="X92" t="s">
        <v>303</v>
      </c>
      <c r="Y92">
        <v>9999999999001</v>
      </c>
      <c r="Z92" t="s">
        <v>304</v>
      </c>
      <c r="AB92" t="s">
        <v>61</v>
      </c>
    </row>
    <row r="93" spans="1:28" hidden="1" x14ac:dyDescent="0.25">
      <c r="A93">
        <v>190815</v>
      </c>
      <c r="B93" t="s">
        <v>333</v>
      </c>
      <c r="C93" s="21">
        <v>46190</v>
      </c>
      <c r="D93" t="s">
        <v>334</v>
      </c>
      <c r="E93" t="s">
        <v>335</v>
      </c>
      <c r="F93" t="s">
        <v>146</v>
      </c>
      <c r="G93" t="s">
        <v>146</v>
      </c>
      <c r="H93" t="s">
        <v>69</v>
      </c>
      <c r="I93" t="s">
        <v>70</v>
      </c>
      <c r="J93" t="s">
        <v>71</v>
      </c>
      <c r="K93">
        <v>12</v>
      </c>
      <c r="L93">
        <v>4.5</v>
      </c>
      <c r="M93">
        <v>54</v>
      </c>
      <c r="N93">
        <v>62.1</v>
      </c>
      <c r="O93">
        <v>2.37</v>
      </c>
      <c r="P93">
        <v>0</v>
      </c>
      <c r="Q93">
        <v>0</v>
      </c>
      <c r="R93" t="s">
        <v>9</v>
      </c>
      <c r="S93" t="s">
        <v>54</v>
      </c>
      <c r="T93" t="s">
        <v>55</v>
      </c>
      <c r="U93" t="s">
        <v>149</v>
      </c>
      <c r="V93" t="s">
        <v>149</v>
      </c>
      <c r="W93" t="s">
        <v>150</v>
      </c>
      <c r="X93" t="s">
        <v>166</v>
      </c>
      <c r="Y93">
        <v>106858798001</v>
      </c>
      <c r="Z93" t="s">
        <v>167</v>
      </c>
      <c r="AB93" t="s">
        <v>61</v>
      </c>
    </row>
    <row r="94" spans="1:28" hidden="1" x14ac:dyDescent="0.25">
      <c r="A94">
        <v>190816</v>
      </c>
      <c r="B94" t="s">
        <v>333</v>
      </c>
      <c r="C94" s="21">
        <v>46190</v>
      </c>
      <c r="D94" t="s">
        <v>334</v>
      </c>
      <c r="E94" t="s">
        <v>335</v>
      </c>
      <c r="F94" t="s">
        <v>146</v>
      </c>
      <c r="G94" t="s">
        <v>146</v>
      </c>
      <c r="H94" t="s">
        <v>69</v>
      </c>
      <c r="I94" t="s">
        <v>70</v>
      </c>
      <c r="J94" t="s">
        <v>71</v>
      </c>
      <c r="K94">
        <v>1</v>
      </c>
      <c r="L94">
        <v>4.5</v>
      </c>
      <c r="M94">
        <v>0</v>
      </c>
      <c r="N94">
        <v>0</v>
      </c>
      <c r="O94">
        <v>2.37</v>
      </c>
      <c r="P94">
        <v>4.5</v>
      </c>
      <c r="Q94">
        <v>100</v>
      </c>
      <c r="R94" t="s">
        <v>9</v>
      </c>
      <c r="S94" t="s">
        <v>54</v>
      </c>
      <c r="T94" t="s">
        <v>55</v>
      </c>
      <c r="U94" t="s">
        <v>149</v>
      </c>
      <c r="V94" t="s">
        <v>149</v>
      </c>
      <c r="W94" t="s">
        <v>150</v>
      </c>
      <c r="X94" t="s">
        <v>166</v>
      </c>
      <c r="Y94">
        <v>106858798001</v>
      </c>
      <c r="Z94" t="s">
        <v>167</v>
      </c>
      <c r="AB94" t="s">
        <v>61</v>
      </c>
    </row>
    <row r="95" spans="1:28" x14ac:dyDescent="0.25">
      <c r="A95">
        <v>190832</v>
      </c>
      <c r="B95" t="s">
        <v>336</v>
      </c>
      <c r="C95" s="21">
        <v>46190</v>
      </c>
      <c r="D95" t="s">
        <v>337</v>
      </c>
      <c r="E95" t="s">
        <v>338</v>
      </c>
      <c r="F95" t="s">
        <v>89</v>
      </c>
      <c r="G95" t="s">
        <v>89</v>
      </c>
      <c r="H95" t="s">
        <v>69</v>
      </c>
      <c r="I95" t="s">
        <v>70</v>
      </c>
      <c r="J95" t="s">
        <v>71</v>
      </c>
      <c r="K95">
        <v>12</v>
      </c>
      <c r="L95">
        <v>3.36</v>
      </c>
      <c r="M95">
        <v>40.32</v>
      </c>
      <c r="N95">
        <v>46.37</v>
      </c>
      <c r="O95">
        <v>0.8</v>
      </c>
      <c r="P95">
        <v>0</v>
      </c>
      <c r="Q95">
        <v>0</v>
      </c>
      <c r="R95" t="s">
        <v>9</v>
      </c>
      <c r="S95" t="s">
        <v>54</v>
      </c>
      <c r="T95" t="s">
        <v>55</v>
      </c>
      <c r="U95" t="s">
        <v>158</v>
      </c>
      <c r="V95" t="s">
        <v>158</v>
      </c>
      <c r="W95" t="s">
        <v>159</v>
      </c>
      <c r="X95" t="s">
        <v>311</v>
      </c>
      <c r="Y95">
        <v>102929361001</v>
      </c>
      <c r="Z95" t="s">
        <v>312</v>
      </c>
      <c r="AB95" t="s">
        <v>61</v>
      </c>
    </row>
    <row r="96" spans="1:28" x14ac:dyDescent="0.25">
      <c r="A96">
        <v>190833</v>
      </c>
      <c r="B96" t="s">
        <v>336</v>
      </c>
      <c r="C96" s="21">
        <v>46190</v>
      </c>
      <c r="D96" t="s">
        <v>337</v>
      </c>
      <c r="E96" t="s">
        <v>338</v>
      </c>
      <c r="F96" t="s">
        <v>89</v>
      </c>
      <c r="G96" t="s">
        <v>89</v>
      </c>
      <c r="H96" t="s">
        <v>69</v>
      </c>
      <c r="I96" t="s">
        <v>70</v>
      </c>
      <c r="J96" t="s">
        <v>71</v>
      </c>
      <c r="K96">
        <v>1</v>
      </c>
      <c r="L96">
        <v>3.36</v>
      </c>
      <c r="M96">
        <v>0</v>
      </c>
      <c r="N96">
        <v>0</v>
      </c>
      <c r="O96">
        <v>0.8</v>
      </c>
      <c r="P96">
        <v>3.36</v>
      </c>
      <c r="Q96">
        <v>100</v>
      </c>
      <c r="R96" t="s">
        <v>9</v>
      </c>
      <c r="S96" t="s">
        <v>54</v>
      </c>
      <c r="T96" t="s">
        <v>55</v>
      </c>
      <c r="U96" t="s">
        <v>158</v>
      </c>
      <c r="V96" t="s">
        <v>158</v>
      </c>
      <c r="W96" t="s">
        <v>159</v>
      </c>
      <c r="X96" t="s">
        <v>311</v>
      </c>
      <c r="Y96">
        <v>102929361001</v>
      </c>
      <c r="Z96" t="s">
        <v>312</v>
      </c>
      <c r="AB96" t="s">
        <v>61</v>
      </c>
    </row>
    <row r="97" spans="1:28" hidden="1" x14ac:dyDescent="0.25">
      <c r="A97">
        <v>190914</v>
      </c>
      <c r="B97" t="s">
        <v>339</v>
      </c>
      <c r="C97" s="21">
        <v>46190</v>
      </c>
      <c r="D97" t="s">
        <v>340</v>
      </c>
      <c r="E97" t="s">
        <v>341</v>
      </c>
      <c r="F97" t="s">
        <v>235</v>
      </c>
      <c r="G97" t="s">
        <v>235</v>
      </c>
      <c r="H97" t="s">
        <v>125</v>
      </c>
      <c r="I97" t="s">
        <v>125</v>
      </c>
      <c r="J97" t="s">
        <v>83</v>
      </c>
      <c r="K97">
        <v>1</v>
      </c>
      <c r="L97">
        <v>4.03</v>
      </c>
      <c r="M97">
        <v>4.03</v>
      </c>
      <c r="N97">
        <v>4.63</v>
      </c>
      <c r="O97">
        <v>1.83</v>
      </c>
      <c r="P97">
        <v>0</v>
      </c>
      <c r="Q97">
        <v>0</v>
      </c>
      <c r="R97" t="s">
        <v>9</v>
      </c>
      <c r="S97" t="s">
        <v>147</v>
      </c>
      <c r="T97" t="s">
        <v>148</v>
      </c>
      <c r="U97" t="s">
        <v>149</v>
      </c>
      <c r="V97" t="s">
        <v>149</v>
      </c>
      <c r="W97" t="s">
        <v>150</v>
      </c>
      <c r="X97" t="s">
        <v>342</v>
      </c>
      <c r="Y97">
        <v>103658985001</v>
      </c>
      <c r="Z97" t="s">
        <v>343</v>
      </c>
      <c r="AB97" t="s">
        <v>61</v>
      </c>
    </row>
    <row r="98" spans="1:28" hidden="1" x14ac:dyDescent="0.25">
      <c r="A98">
        <v>190931</v>
      </c>
      <c r="B98" t="s">
        <v>344</v>
      </c>
      <c r="C98" s="21">
        <v>46190</v>
      </c>
      <c r="D98" t="s">
        <v>345</v>
      </c>
      <c r="E98" t="s">
        <v>346</v>
      </c>
      <c r="F98" t="s">
        <v>319</v>
      </c>
      <c r="G98" t="s">
        <v>319</v>
      </c>
      <c r="H98" t="s">
        <v>347</v>
      </c>
      <c r="I98" t="s">
        <v>347</v>
      </c>
      <c r="J98" t="s">
        <v>83</v>
      </c>
      <c r="K98">
        <v>2</v>
      </c>
      <c r="L98">
        <v>0.68</v>
      </c>
      <c r="M98">
        <v>1.36</v>
      </c>
      <c r="N98">
        <v>1.56</v>
      </c>
      <c r="O98">
        <v>0.43</v>
      </c>
      <c r="P98">
        <v>0</v>
      </c>
      <c r="Q98">
        <v>0</v>
      </c>
      <c r="R98" t="s">
        <v>9</v>
      </c>
      <c r="S98" t="s">
        <v>54</v>
      </c>
      <c r="T98" t="s">
        <v>55</v>
      </c>
      <c r="U98" t="s">
        <v>149</v>
      </c>
      <c r="V98" t="s">
        <v>149</v>
      </c>
      <c r="W98" t="s">
        <v>150</v>
      </c>
      <c r="X98" t="s">
        <v>221</v>
      </c>
      <c r="Y98">
        <v>190490777001</v>
      </c>
      <c r="Z98" t="s">
        <v>222</v>
      </c>
      <c r="AB98" t="s">
        <v>61</v>
      </c>
    </row>
    <row r="99" spans="1:28" x14ac:dyDescent="0.25">
      <c r="A99">
        <v>190933</v>
      </c>
      <c r="B99" t="s">
        <v>348</v>
      </c>
      <c r="C99" s="21">
        <v>46190</v>
      </c>
      <c r="D99" t="s">
        <v>66</v>
      </c>
      <c r="E99" t="s">
        <v>67</v>
      </c>
      <c r="F99" t="s">
        <v>68</v>
      </c>
      <c r="G99" t="s">
        <v>68</v>
      </c>
      <c r="H99" t="s">
        <v>69</v>
      </c>
      <c r="I99" t="s">
        <v>70</v>
      </c>
      <c r="J99" t="s">
        <v>71</v>
      </c>
      <c r="K99">
        <v>1</v>
      </c>
      <c r="L99">
        <v>1.83</v>
      </c>
      <c r="M99">
        <v>1.83</v>
      </c>
      <c r="N99">
        <v>2.1</v>
      </c>
      <c r="O99">
        <v>0.92</v>
      </c>
      <c r="P99">
        <v>0</v>
      </c>
      <c r="Q99">
        <v>0</v>
      </c>
      <c r="R99" t="s">
        <v>9</v>
      </c>
      <c r="S99" t="s">
        <v>349</v>
      </c>
      <c r="T99" t="s">
        <v>148</v>
      </c>
      <c r="U99" t="s">
        <v>158</v>
      </c>
      <c r="V99" t="s">
        <v>158</v>
      </c>
      <c r="W99" t="s">
        <v>159</v>
      </c>
      <c r="X99" t="s">
        <v>350</v>
      </c>
      <c r="Y99">
        <v>102835055</v>
      </c>
      <c r="Z99" t="s">
        <v>351</v>
      </c>
    </row>
    <row r="100" spans="1:28" x14ac:dyDescent="0.25">
      <c r="A100">
        <v>190934</v>
      </c>
      <c r="B100" t="s">
        <v>348</v>
      </c>
      <c r="C100" s="21">
        <v>46190</v>
      </c>
      <c r="D100" t="s">
        <v>352</v>
      </c>
      <c r="E100" t="s">
        <v>353</v>
      </c>
      <c r="F100" t="s">
        <v>51</v>
      </c>
      <c r="G100" t="s">
        <v>51</v>
      </c>
      <c r="H100" t="s">
        <v>354</v>
      </c>
      <c r="I100" t="s">
        <v>354</v>
      </c>
      <c r="J100" t="s">
        <v>53</v>
      </c>
      <c r="K100">
        <v>1</v>
      </c>
      <c r="L100">
        <v>6.6</v>
      </c>
      <c r="M100">
        <v>6.6</v>
      </c>
      <c r="N100">
        <v>7.6</v>
      </c>
      <c r="O100">
        <v>4.09</v>
      </c>
      <c r="P100">
        <v>0</v>
      </c>
      <c r="Q100">
        <v>0</v>
      </c>
      <c r="R100" t="s">
        <v>9</v>
      </c>
      <c r="S100" t="s">
        <v>349</v>
      </c>
      <c r="T100" t="s">
        <v>148</v>
      </c>
      <c r="U100" t="s">
        <v>158</v>
      </c>
      <c r="V100" t="s">
        <v>158</v>
      </c>
      <c r="W100" t="s">
        <v>159</v>
      </c>
      <c r="X100" t="s">
        <v>350</v>
      </c>
      <c r="Y100">
        <v>102835055</v>
      </c>
      <c r="Z100" t="s">
        <v>351</v>
      </c>
    </row>
    <row r="101" spans="1:28" x14ac:dyDescent="0.25">
      <c r="A101">
        <v>190935</v>
      </c>
      <c r="B101" t="s">
        <v>348</v>
      </c>
      <c r="C101" s="21">
        <v>46190</v>
      </c>
      <c r="D101" t="s">
        <v>355</v>
      </c>
      <c r="E101" t="s">
        <v>356</v>
      </c>
      <c r="F101" t="s">
        <v>51</v>
      </c>
      <c r="G101" t="s">
        <v>51</v>
      </c>
      <c r="H101" t="s">
        <v>354</v>
      </c>
      <c r="I101" t="s">
        <v>354</v>
      </c>
      <c r="J101" t="s">
        <v>53</v>
      </c>
      <c r="K101">
        <v>1</v>
      </c>
      <c r="L101">
        <v>23.73</v>
      </c>
      <c r="M101">
        <v>23.73</v>
      </c>
      <c r="N101">
        <v>27.29</v>
      </c>
      <c r="O101">
        <v>14.48</v>
      </c>
      <c r="P101">
        <v>0</v>
      </c>
      <c r="Q101">
        <v>0</v>
      </c>
      <c r="R101" t="s">
        <v>9</v>
      </c>
      <c r="S101" t="s">
        <v>349</v>
      </c>
      <c r="T101" t="s">
        <v>148</v>
      </c>
      <c r="U101" t="s">
        <v>158</v>
      </c>
      <c r="V101" t="s">
        <v>158</v>
      </c>
      <c r="W101" t="s">
        <v>159</v>
      </c>
      <c r="X101" t="s">
        <v>350</v>
      </c>
      <c r="Y101">
        <v>102835055</v>
      </c>
      <c r="Z101" t="s">
        <v>351</v>
      </c>
    </row>
    <row r="102" spans="1:28" x14ac:dyDescent="0.25">
      <c r="A102">
        <v>190936</v>
      </c>
      <c r="B102" t="s">
        <v>348</v>
      </c>
      <c r="C102" s="21">
        <v>46190</v>
      </c>
      <c r="D102" t="s">
        <v>76</v>
      </c>
      <c r="E102" t="s">
        <v>77</v>
      </c>
      <c r="F102" t="s">
        <v>78</v>
      </c>
      <c r="G102" t="s">
        <v>78</v>
      </c>
      <c r="H102" t="s">
        <v>79</v>
      </c>
      <c r="I102" t="s">
        <v>79</v>
      </c>
      <c r="K102">
        <v>5</v>
      </c>
      <c r="L102">
        <v>0.01</v>
      </c>
      <c r="M102">
        <v>0.06</v>
      </c>
      <c r="N102">
        <v>7.0000000000000007E-2</v>
      </c>
      <c r="O102">
        <v>0.01</v>
      </c>
      <c r="P102">
        <v>0</v>
      </c>
      <c r="Q102">
        <v>0</v>
      </c>
      <c r="R102" t="s">
        <v>9</v>
      </c>
      <c r="S102" t="s">
        <v>349</v>
      </c>
      <c r="T102" t="s">
        <v>148</v>
      </c>
      <c r="U102" t="s">
        <v>158</v>
      </c>
      <c r="V102" t="s">
        <v>158</v>
      </c>
      <c r="W102" t="s">
        <v>159</v>
      </c>
      <c r="X102" t="s">
        <v>350</v>
      </c>
      <c r="Y102">
        <v>102835055</v>
      </c>
      <c r="Z102" t="s">
        <v>351</v>
      </c>
    </row>
    <row r="103" spans="1:28" x14ac:dyDescent="0.25">
      <c r="A103">
        <v>190937</v>
      </c>
      <c r="B103" t="s">
        <v>348</v>
      </c>
      <c r="C103" s="21">
        <v>46190</v>
      </c>
      <c r="D103" t="s">
        <v>357</v>
      </c>
      <c r="E103" t="s">
        <v>358</v>
      </c>
      <c r="F103" t="s">
        <v>89</v>
      </c>
      <c r="G103" t="s">
        <v>89</v>
      </c>
      <c r="H103" t="s">
        <v>359</v>
      </c>
      <c r="I103" t="s">
        <v>359</v>
      </c>
      <c r="J103" t="s">
        <v>53</v>
      </c>
      <c r="K103">
        <v>1</v>
      </c>
      <c r="L103">
        <v>12.32</v>
      </c>
      <c r="M103">
        <v>12.32</v>
      </c>
      <c r="N103">
        <v>14.17</v>
      </c>
      <c r="O103">
        <v>8.4</v>
      </c>
      <c r="P103">
        <v>0</v>
      </c>
      <c r="Q103">
        <v>0</v>
      </c>
      <c r="R103" t="s">
        <v>9</v>
      </c>
      <c r="S103" t="s">
        <v>349</v>
      </c>
      <c r="T103" t="s">
        <v>148</v>
      </c>
      <c r="U103" t="s">
        <v>158</v>
      </c>
      <c r="V103" t="s">
        <v>158</v>
      </c>
      <c r="W103" t="s">
        <v>159</v>
      </c>
      <c r="X103" t="s">
        <v>350</v>
      </c>
      <c r="Y103">
        <v>102835055</v>
      </c>
      <c r="Z103" t="s">
        <v>351</v>
      </c>
    </row>
    <row r="104" spans="1:28" x14ac:dyDescent="0.25">
      <c r="A104">
        <v>190938</v>
      </c>
      <c r="B104" t="s">
        <v>348</v>
      </c>
      <c r="C104" s="21">
        <v>46190</v>
      </c>
      <c r="D104" t="s">
        <v>360</v>
      </c>
      <c r="E104" t="s">
        <v>361</v>
      </c>
      <c r="F104" t="s">
        <v>89</v>
      </c>
      <c r="G104" t="s">
        <v>89</v>
      </c>
      <c r="H104" t="s">
        <v>362</v>
      </c>
      <c r="I104" t="s">
        <v>362</v>
      </c>
      <c r="J104" t="s">
        <v>53</v>
      </c>
      <c r="K104">
        <v>1</v>
      </c>
      <c r="L104">
        <v>8.68</v>
      </c>
      <c r="M104">
        <v>8.68</v>
      </c>
      <c r="N104">
        <v>9.98</v>
      </c>
      <c r="O104">
        <v>5.98</v>
      </c>
      <c r="P104">
        <v>0</v>
      </c>
      <c r="Q104">
        <v>0</v>
      </c>
      <c r="R104" t="s">
        <v>9</v>
      </c>
      <c r="S104" t="s">
        <v>349</v>
      </c>
      <c r="T104" t="s">
        <v>148</v>
      </c>
      <c r="U104" t="s">
        <v>158</v>
      </c>
      <c r="V104" t="s">
        <v>158</v>
      </c>
      <c r="W104" t="s">
        <v>159</v>
      </c>
      <c r="X104" t="s">
        <v>350</v>
      </c>
      <c r="Y104">
        <v>102835055</v>
      </c>
      <c r="Z104" t="s">
        <v>351</v>
      </c>
    </row>
    <row r="105" spans="1:28" hidden="1" x14ac:dyDescent="0.25">
      <c r="A105">
        <v>190941</v>
      </c>
      <c r="B105" t="s">
        <v>363</v>
      </c>
      <c r="C105" s="21">
        <v>46190</v>
      </c>
      <c r="D105" t="s">
        <v>364</v>
      </c>
      <c r="E105" t="s">
        <v>365</v>
      </c>
      <c r="F105" t="s">
        <v>319</v>
      </c>
      <c r="G105" t="s">
        <v>319</v>
      </c>
      <c r="H105" t="s">
        <v>320</v>
      </c>
      <c r="I105" t="s">
        <v>320</v>
      </c>
      <c r="J105" t="s">
        <v>83</v>
      </c>
      <c r="K105">
        <v>2</v>
      </c>
      <c r="L105">
        <v>0.49</v>
      </c>
      <c r="M105">
        <v>0.98</v>
      </c>
      <c r="N105">
        <v>1.1200000000000001</v>
      </c>
      <c r="O105">
        <v>0.35</v>
      </c>
      <c r="P105">
        <v>0</v>
      </c>
      <c r="Q105">
        <v>0</v>
      </c>
      <c r="R105" t="s">
        <v>9</v>
      </c>
      <c r="S105" t="s">
        <v>54</v>
      </c>
      <c r="T105" t="s">
        <v>55</v>
      </c>
      <c r="U105" t="s">
        <v>149</v>
      </c>
      <c r="V105" t="s">
        <v>149</v>
      </c>
      <c r="W105" t="s">
        <v>150</v>
      </c>
      <c r="X105" t="s">
        <v>221</v>
      </c>
      <c r="Y105">
        <v>190490777001</v>
      </c>
      <c r="Z105" t="s">
        <v>222</v>
      </c>
      <c r="AB105" t="s">
        <v>61</v>
      </c>
    </row>
    <row r="106" spans="1:28" hidden="1" x14ac:dyDescent="0.25">
      <c r="A106">
        <v>190962</v>
      </c>
      <c r="B106" t="s">
        <v>366</v>
      </c>
      <c r="C106" s="21">
        <v>46190</v>
      </c>
      <c r="D106" t="s">
        <v>367</v>
      </c>
      <c r="E106" t="s">
        <v>368</v>
      </c>
      <c r="F106" t="s">
        <v>369</v>
      </c>
      <c r="G106" t="s">
        <v>369</v>
      </c>
      <c r="H106" t="s">
        <v>82</v>
      </c>
      <c r="I106" t="s">
        <v>82</v>
      </c>
      <c r="J106" t="s">
        <v>83</v>
      </c>
      <c r="K106">
        <v>1</v>
      </c>
      <c r="L106">
        <v>31.91</v>
      </c>
      <c r="M106">
        <v>31.91</v>
      </c>
      <c r="N106">
        <v>36.700000000000003</v>
      </c>
      <c r="O106">
        <v>23.65</v>
      </c>
      <c r="P106">
        <v>0</v>
      </c>
      <c r="Q106">
        <v>0</v>
      </c>
      <c r="R106" t="s">
        <v>9</v>
      </c>
      <c r="S106" t="s">
        <v>54</v>
      </c>
      <c r="T106" t="s">
        <v>148</v>
      </c>
      <c r="U106" t="s">
        <v>149</v>
      </c>
      <c r="V106" t="s">
        <v>149</v>
      </c>
      <c r="W106" t="s">
        <v>150</v>
      </c>
      <c r="X106" t="s">
        <v>370</v>
      </c>
      <c r="Y106">
        <v>190310868001</v>
      </c>
      <c r="Z106" t="s">
        <v>371</v>
      </c>
      <c r="AB106" t="s">
        <v>61</v>
      </c>
    </row>
    <row r="107" spans="1:28" x14ac:dyDescent="0.25">
      <c r="A107">
        <v>190993</v>
      </c>
      <c r="B107" t="s">
        <v>372</v>
      </c>
      <c r="C107" s="21">
        <v>46190</v>
      </c>
      <c r="D107" t="s">
        <v>373</v>
      </c>
      <c r="E107" t="s">
        <v>374</v>
      </c>
      <c r="F107" t="s">
        <v>68</v>
      </c>
      <c r="G107" t="s">
        <v>68</v>
      </c>
      <c r="H107" t="s">
        <v>142</v>
      </c>
      <c r="I107" t="s">
        <v>142</v>
      </c>
      <c r="J107" t="s">
        <v>83</v>
      </c>
      <c r="K107">
        <v>1</v>
      </c>
      <c r="L107">
        <v>2.72</v>
      </c>
      <c r="M107">
        <v>2.72</v>
      </c>
      <c r="N107">
        <v>3.13</v>
      </c>
      <c r="O107">
        <v>1.49</v>
      </c>
      <c r="P107">
        <v>0</v>
      </c>
      <c r="Q107">
        <v>0</v>
      </c>
      <c r="R107" t="s">
        <v>9</v>
      </c>
      <c r="S107" t="s">
        <v>54</v>
      </c>
      <c r="T107" t="s">
        <v>148</v>
      </c>
      <c r="U107" t="s">
        <v>158</v>
      </c>
      <c r="V107" t="s">
        <v>158</v>
      </c>
      <c r="W107" t="s">
        <v>159</v>
      </c>
      <c r="X107" t="s">
        <v>375</v>
      </c>
      <c r="Y107">
        <v>107349847</v>
      </c>
      <c r="Z107" t="s">
        <v>376</v>
      </c>
      <c r="AB107" t="s">
        <v>61</v>
      </c>
    </row>
    <row r="108" spans="1:28" x14ac:dyDescent="0.25">
      <c r="A108">
        <v>190994</v>
      </c>
      <c r="B108" t="s">
        <v>372</v>
      </c>
      <c r="C108" s="21">
        <v>46190</v>
      </c>
      <c r="D108" t="s">
        <v>377</v>
      </c>
      <c r="E108" t="s">
        <v>378</v>
      </c>
      <c r="F108" t="s">
        <v>379</v>
      </c>
      <c r="G108" t="s">
        <v>379</v>
      </c>
      <c r="H108" t="s">
        <v>380</v>
      </c>
      <c r="I108" t="s">
        <v>380</v>
      </c>
      <c r="J108" t="s">
        <v>53</v>
      </c>
      <c r="K108">
        <v>1</v>
      </c>
      <c r="L108">
        <v>1.45</v>
      </c>
      <c r="M108">
        <v>1.45</v>
      </c>
      <c r="N108">
        <v>1.67</v>
      </c>
      <c r="O108">
        <v>0.44</v>
      </c>
      <c r="P108">
        <v>0</v>
      </c>
      <c r="Q108">
        <v>0</v>
      </c>
      <c r="R108" t="s">
        <v>9</v>
      </c>
      <c r="S108" t="s">
        <v>54</v>
      </c>
      <c r="T108" t="s">
        <v>148</v>
      </c>
      <c r="U108" t="s">
        <v>158</v>
      </c>
      <c r="V108" t="s">
        <v>158</v>
      </c>
      <c r="W108" t="s">
        <v>159</v>
      </c>
      <c r="X108" t="s">
        <v>375</v>
      </c>
      <c r="Y108">
        <v>107349847</v>
      </c>
      <c r="Z108" t="s">
        <v>376</v>
      </c>
      <c r="AB108" t="s">
        <v>61</v>
      </c>
    </row>
    <row r="109" spans="1:28" x14ac:dyDescent="0.25">
      <c r="A109">
        <v>190995</v>
      </c>
      <c r="B109" t="s">
        <v>381</v>
      </c>
      <c r="C109" s="21">
        <v>46190</v>
      </c>
      <c r="D109" t="s">
        <v>76</v>
      </c>
      <c r="E109" t="s">
        <v>77</v>
      </c>
      <c r="F109" t="s">
        <v>78</v>
      </c>
      <c r="G109" t="s">
        <v>78</v>
      </c>
      <c r="H109" t="s">
        <v>79</v>
      </c>
      <c r="I109" t="s">
        <v>79</v>
      </c>
      <c r="K109">
        <v>8</v>
      </c>
      <c r="L109">
        <v>0.01</v>
      </c>
      <c r="M109">
        <v>0.09</v>
      </c>
      <c r="N109">
        <v>0.11</v>
      </c>
      <c r="O109">
        <v>0.01</v>
      </c>
      <c r="P109">
        <v>0</v>
      </c>
      <c r="Q109">
        <v>0</v>
      </c>
      <c r="R109" t="s">
        <v>9</v>
      </c>
      <c r="S109" t="s">
        <v>54</v>
      </c>
      <c r="T109" t="s">
        <v>55</v>
      </c>
      <c r="U109" t="s">
        <v>158</v>
      </c>
      <c r="V109" t="s">
        <v>158</v>
      </c>
      <c r="W109" t="s">
        <v>159</v>
      </c>
      <c r="X109" t="s">
        <v>382</v>
      </c>
      <c r="Y109">
        <v>102193851001</v>
      </c>
      <c r="Z109" t="s">
        <v>383</v>
      </c>
      <c r="AA109" t="s">
        <v>60</v>
      </c>
      <c r="AB109" t="s">
        <v>61</v>
      </c>
    </row>
    <row r="110" spans="1:28" x14ac:dyDescent="0.25">
      <c r="A110">
        <v>190996</v>
      </c>
      <c r="B110" t="s">
        <v>381</v>
      </c>
      <c r="C110" s="21">
        <v>46190</v>
      </c>
      <c r="D110" t="s">
        <v>384</v>
      </c>
      <c r="E110" t="s">
        <v>385</v>
      </c>
      <c r="F110" t="s">
        <v>51</v>
      </c>
      <c r="G110" t="s">
        <v>51</v>
      </c>
      <c r="H110" t="s">
        <v>386</v>
      </c>
      <c r="I110" t="s">
        <v>386</v>
      </c>
      <c r="J110" t="s">
        <v>83</v>
      </c>
      <c r="K110">
        <v>2</v>
      </c>
      <c r="L110">
        <v>34.32</v>
      </c>
      <c r="M110">
        <v>68.64</v>
      </c>
      <c r="N110">
        <v>78.94</v>
      </c>
      <c r="O110">
        <v>25.82</v>
      </c>
      <c r="P110">
        <v>0</v>
      </c>
      <c r="Q110">
        <v>0</v>
      </c>
      <c r="R110" t="s">
        <v>9</v>
      </c>
      <c r="S110" t="s">
        <v>54</v>
      </c>
      <c r="T110" t="s">
        <v>55</v>
      </c>
      <c r="U110" t="s">
        <v>158</v>
      </c>
      <c r="V110" t="s">
        <v>158</v>
      </c>
      <c r="W110" t="s">
        <v>159</v>
      </c>
      <c r="X110" t="s">
        <v>382</v>
      </c>
      <c r="Y110">
        <v>102193851001</v>
      </c>
      <c r="Z110" t="s">
        <v>383</v>
      </c>
      <c r="AA110" t="s">
        <v>60</v>
      </c>
      <c r="AB110" t="s">
        <v>61</v>
      </c>
    </row>
    <row r="111" spans="1:28" x14ac:dyDescent="0.25">
      <c r="A111">
        <v>190997</v>
      </c>
      <c r="B111" t="s">
        <v>387</v>
      </c>
      <c r="C111" s="21">
        <v>46190</v>
      </c>
      <c r="D111" t="s">
        <v>388</v>
      </c>
      <c r="E111" t="s">
        <v>389</v>
      </c>
      <c r="F111" t="s">
        <v>89</v>
      </c>
      <c r="G111" t="s">
        <v>89</v>
      </c>
      <c r="H111" t="s">
        <v>359</v>
      </c>
      <c r="I111" t="s">
        <v>359</v>
      </c>
      <c r="J111" t="s">
        <v>53</v>
      </c>
      <c r="K111">
        <v>1</v>
      </c>
      <c r="L111">
        <v>14.3</v>
      </c>
      <c r="M111">
        <v>14.3</v>
      </c>
      <c r="N111">
        <v>16.45</v>
      </c>
      <c r="O111">
        <v>10</v>
      </c>
      <c r="P111">
        <v>0</v>
      </c>
      <c r="Q111">
        <v>0</v>
      </c>
      <c r="R111" t="s">
        <v>9</v>
      </c>
      <c r="S111" t="s">
        <v>54</v>
      </c>
      <c r="T111" t="s">
        <v>148</v>
      </c>
      <c r="U111" t="s">
        <v>158</v>
      </c>
      <c r="V111" t="s">
        <v>158</v>
      </c>
      <c r="W111" t="s">
        <v>159</v>
      </c>
      <c r="X111" t="s">
        <v>390</v>
      </c>
      <c r="Y111">
        <v>103503322001</v>
      </c>
      <c r="Z111" t="s">
        <v>391</v>
      </c>
      <c r="AB111" t="s">
        <v>61</v>
      </c>
    </row>
    <row r="112" spans="1:28" x14ac:dyDescent="0.25">
      <c r="A112">
        <v>191026</v>
      </c>
      <c r="B112" t="s">
        <v>392</v>
      </c>
      <c r="C112" s="21">
        <v>46190</v>
      </c>
      <c r="D112" t="s">
        <v>393</v>
      </c>
      <c r="E112" t="s">
        <v>394</v>
      </c>
      <c r="F112" t="s">
        <v>94</v>
      </c>
      <c r="G112" t="s">
        <v>94</v>
      </c>
      <c r="H112" t="s">
        <v>95</v>
      </c>
      <c r="I112" t="s">
        <v>95</v>
      </c>
      <c r="J112" t="s">
        <v>71</v>
      </c>
      <c r="K112">
        <v>1</v>
      </c>
      <c r="L112">
        <v>2.76</v>
      </c>
      <c r="M112">
        <v>2.76</v>
      </c>
      <c r="N112">
        <v>3.17</v>
      </c>
      <c r="O112">
        <v>1.99</v>
      </c>
      <c r="P112">
        <v>0</v>
      </c>
      <c r="Q112">
        <v>0</v>
      </c>
      <c r="R112" t="s">
        <v>9</v>
      </c>
      <c r="S112" t="s">
        <v>54</v>
      </c>
      <c r="T112" t="s">
        <v>148</v>
      </c>
      <c r="U112" t="s">
        <v>158</v>
      </c>
      <c r="V112" t="s">
        <v>158</v>
      </c>
      <c r="W112" t="s">
        <v>159</v>
      </c>
      <c r="X112" t="s">
        <v>395</v>
      </c>
      <c r="Y112">
        <v>103397154001</v>
      </c>
      <c r="Z112" t="s">
        <v>396</v>
      </c>
      <c r="AB112" t="s">
        <v>61</v>
      </c>
    </row>
    <row r="113" spans="1:28" x14ac:dyDescent="0.25">
      <c r="A113">
        <v>191027</v>
      </c>
      <c r="B113" t="s">
        <v>392</v>
      </c>
      <c r="C113" s="21">
        <v>46190</v>
      </c>
      <c r="D113" t="s">
        <v>397</v>
      </c>
      <c r="E113" t="s">
        <v>398</v>
      </c>
      <c r="F113" t="s">
        <v>94</v>
      </c>
      <c r="G113" t="s">
        <v>94</v>
      </c>
      <c r="H113" t="s">
        <v>95</v>
      </c>
      <c r="I113" t="s">
        <v>95</v>
      </c>
      <c r="J113" t="s">
        <v>71</v>
      </c>
      <c r="K113">
        <v>1</v>
      </c>
      <c r="L113">
        <v>2.76</v>
      </c>
      <c r="M113">
        <v>2.76</v>
      </c>
      <c r="N113">
        <v>3.17</v>
      </c>
      <c r="O113">
        <v>1.79</v>
      </c>
      <c r="P113">
        <v>0</v>
      </c>
      <c r="Q113">
        <v>0</v>
      </c>
      <c r="R113" t="s">
        <v>9</v>
      </c>
      <c r="S113" t="s">
        <v>54</v>
      </c>
      <c r="T113" t="s">
        <v>148</v>
      </c>
      <c r="U113" t="s">
        <v>158</v>
      </c>
      <c r="V113" t="s">
        <v>158</v>
      </c>
      <c r="W113" t="s">
        <v>159</v>
      </c>
      <c r="X113" t="s">
        <v>395</v>
      </c>
      <c r="Y113">
        <v>103397154001</v>
      </c>
      <c r="Z113" t="s">
        <v>396</v>
      </c>
      <c r="AB113" t="s">
        <v>61</v>
      </c>
    </row>
    <row r="114" spans="1:28" x14ac:dyDescent="0.25">
      <c r="A114">
        <v>191034</v>
      </c>
      <c r="B114" t="s">
        <v>399</v>
      </c>
      <c r="C114" s="21">
        <v>46190</v>
      </c>
      <c r="D114" t="s">
        <v>400</v>
      </c>
      <c r="E114" t="s">
        <v>401</v>
      </c>
      <c r="F114" t="s">
        <v>402</v>
      </c>
      <c r="G114" t="s">
        <v>402</v>
      </c>
      <c r="H114" t="s">
        <v>125</v>
      </c>
      <c r="I114" t="s">
        <v>125</v>
      </c>
      <c r="J114" t="s">
        <v>83</v>
      </c>
      <c r="K114">
        <v>2</v>
      </c>
      <c r="L114">
        <v>3</v>
      </c>
      <c r="M114">
        <v>6.01</v>
      </c>
      <c r="N114">
        <v>6.91</v>
      </c>
      <c r="O114">
        <v>1.82</v>
      </c>
      <c r="P114">
        <v>0</v>
      </c>
      <c r="Q114">
        <v>0</v>
      </c>
      <c r="R114" t="s">
        <v>9</v>
      </c>
      <c r="S114" t="s">
        <v>54</v>
      </c>
      <c r="T114" t="s">
        <v>55</v>
      </c>
      <c r="U114" t="s">
        <v>158</v>
      </c>
      <c r="V114" t="s">
        <v>158</v>
      </c>
      <c r="W114" t="s">
        <v>159</v>
      </c>
      <c r="X114" t="s">
        <v>311</v>
      </c>
      <c r="Y114">
        <v>102929361001</v>
      </c>
      <c r="Z114" t="s">
        <v>312</v>
      </c>
      <c r="AB114" t="s">
        <v>61</v>
      </c>
    </row>
    <row r="115" spans="1:28" x14ac:dyDescent="0.25">
      <c r="A115">
        <v>191035</v>
      </c>
      <c r="B115" t="s">
        <v>399</v>
      </c>
      <c r="C115" s="21">
        <v>46190</v>
      </c>
      <c r="D115" t="s">
        <v>403</v>
      </c>
      <c r="E115" t="s">
        <v>404</v>
      </c>
      <c r="F115" t="s">
        <v>301</v>
      </c>
      <c r="G115" t="s">
        <v>301</v>
      </c>
      <c r="H115" t="s">
        <v>405</v>
      </c>
      <c r="I115" t="s">
        <v>405</v>
      </c>
      <c r="J115" t="s">
        <v>83</v>
      </c>
      <c r="K115">
        <v>2</v>
      </c>
      <c r="L115">
        <v>7.08</v>
      </c>
      <c r="M115">
        <v>14.15</v>
      </c>
      <c r="N115">
        <v>16.28</v>
      </c>
      <c r="O115">
        <v>5.37</v>
      </c>
      <c r="P115">
        <v>0</v>
      </c>
      <c r="Q115">
        <v>0</v>
      </c>
      <c r="R115" t="s">
        <v>9</v>
      </c>
      <c r="S115" t="s">
        <v>54</v>
      </c>
      <c r="T115" t="s">
        <v>55</v>
      </c>
      <c r="U115" t="s">
        <v>158</v>
      </c>
      <c r="V115" t="s">
        <v>158</v>
      </c>
      <c r="W115" t="s">
        <v>159</v>
      </c>
      <c r="X115" t="s">
        <v>311</v>
      </c>
      <c r="Y115">
        <v>102929361001</v>
      </c>
      <c r="Z115" t="s">
        <v>312</v>
      </c>
      <c r="AB115" t="s">
        <v>61</v>
      </c>
    </row>
    <row r="116" spans="1:28" x14ac:dyDescent="0.25">
      <c r="A116">
        <v>191036</v>
      </c>
      <c r="B116" t="s">
        <v>406</v>
      </c>
      <c r="C116" s="21">
        <v>46190</v>
      </c>
      <c r="D116" t="s">
        <v>393</v>
      </c>
      <c r="E116" t="s">
        <v>394</v>
      </c>
      <c r="F116" t="s">
        <v>94</v>
      </c>
      <c r="G116" t="s">
        <v>94</v>
      </c>
      <c r="H116" t="s">
        <v>95</v>
      </c>
      <c r="I116" t="s">
        <v>95</v>
      </c>
      <c r="J116" t="s">
        <v>71</v>
      </c>
      <c r="K116">
        <v>1</v>
      </c>
      <c r="L116">
        <v>3.91</v>
      </c>
      <c r="M116">
        <v>3.91</v>
      </c>
      <c r="N116">
        <v>4.5</v>
      </c>
      <c r="O116">
        <v>1.99</v>
      </c>
      <c r="P116">
        <v>0</v>
      </c>
      <c r="Q116">
        <v>0</v>
      </c>
      <c r="R116" t="s">
        <v>9</v>
      </c>
      <c r="S116" t="s">
        <v>147</v>
      </c>
      <c r="T116" t="s">
        <v>148</v>
      </c>
      <c r="U116" t="s">
        <v>158</v>
      </c>
      <c r="V116" t="s">
        <v>158</v>
      </c>
      <c r="W116" t="s">
        <v>159</v>
      </c>
      <c r="X116" t="s">
        <v>303</v>
      </c>
      <c r="Y116">
        <v>9999999999001</v>
      </c>
      <c r="Z116" t="s">
        <v>304</v>
      </c>
      <c r="AB116" t="s">
        <v>61</v>
      </c>
    </row>
    <row r="117" spans="1:28" x14ac:dyDescent="0.25">
      <c r="A117">
        <v>191037</v>
      </c>
      <c r="B117" t="s">
        <v>407</v>
      </c>
      <c r="C117" s="21">
        <v>46190</v>
      </c>
      <c r="D117" t="s">
        <v>397</v>
      </c>
      <c r="E117" t="s">
        <v>398</v>
      </c>
      <c r="F117" t="s">
        <v>94</v>
      </c>
      <c r="G117" t="s">
        <v>94</v>
      </c>
      <c r="H117" t="s">
        <v>95</v>
      </c>
      <c r="I117" t="s">
        <v>95</v>
      </c>
      <c r="J117" t="s">
        <v>71</v>
      </c>
      <c r="K117">
        <v>2</v>
      </c>
      <c r="L117">
        <v>2.76</v>
      </c>
      <c r="M117">
        <v>5.52</v>
      </c>
      <c r="N117">
        <v>6.35</v>
      </c>
      <c r="O117">
        <v>1.79</v>
      </c>
      <c r="P117">
        <v>0</v>
      </c>
      <c r="Q117">
        <v>0</v>
      </c>
      <c r="R117" t="s">
        <v>9</v>
      </c>
      <c r="S117" t="s">
        <v>54</v>
      </c>
      <c r="T117" t="s">
        <v>148</v>
      </c>
      <c r="U117" t="s">
        <v>158</v>
      </c>
      <c r="V117" t="s">
        <v>158</v>
      </c>
      <c r="W117" t="s">
        <v>159</v>
      </c>
      <c r="X117" t="s">
        <v>408</v>
      </c>
      <c r="Y117">
        <v>1103895361001</v>
      </c>
      <c r="Z117" t="s">
        <v>409</v>
      </c>
    </row>
    <row r="118" spans="1:28" x14ac:dyDescent="0.25">
      <c r="A118">
        <v>191049</v>
      </c>
      <c r="B118" t="s">
        <v>410</v>
      </c>
      <c r="C118" s="21">
        <v>46190</v>
      </c>
      <c r="D118" t="s">
        <v>411</v>
      </c>
      <c r="E118" t="s">
        <v>412</v>
      </c>
      <c r="F118" t="s">
        <v>165</v>
      </c>
      <c r="G118" t="s">
        <v>165</v>
      </c>
      <c r="H118" t="s">
        <v>413</v>
      </c>
      <c r="I118" t="s">
        <v>413</v>
      </c>
      <c r="J118" t="s">
        <v>53</v>
      </c>
      <c r="K118">
        <v>1</v>
      </c>
      <c r="L118">
        <v>2.87</v>
      </c>
      <c r="M118">
        <v>2.87</v>
      </c>
      <c r="N118">
        <v>3.3</v>
      </c>
      <c r="O118">
        <v>0.87</v>
      </c>
      <c r="P118">
        <v>0</v>
      </c>
      <c r="Q118">
        <v>0</v>
      </c>
      <c r="R118" t="s">
        <v>9</v>
      </c>
      <c r="S118" t="s">
        <v>54</v>
      </c>
      <c r="T118" t="s">
        <v>55</v>
      </c>
      <c r="U118" t="s">
        <v>158</v>
      </c>
      <c r="V118" t="s">
        <v>158</v>
      </c>
      <c r="W118" t="s">
        <v>159</v>
      </c>
      <c r="X118" t="s">
        <v>414</v>
      </c>
      <c r="Y118">
        <v>190349896001</v>
      </c>
      <c r="Z118" t="s">
        <v>415</v>
      </c>
      <c r="AB118" t="s">
        <v>61</v>
      </c>
    </row>
    <row r="119" spans="1:28" x14ac:dyDescent="0.25">
      <c r="A119">
        <v>191052</v>
      </c>
      <c r="B119" t="s">
        <v>416</v>
      </c>
      <c r="C119" s="21">
        <v>46190</v>
      </c>
      <c r="D119" t="s">
        <v>321</v>
      </c>
      <c r="E119" t="s">
        <v>322</v>
      </c>
      <c r="F119" t="s">
        <v>319</v>
      </c>
      <c r="G119" t="s">
        <v>319</v>
      </c>
      <c r="H119" t="s">
        <v>323</v>
      </c>
      <c r="I119" t="s">
        <v>323</v>
      </c>
      <c r="J119" t="s">
        <v>83</v>
      </c>
      <c r="K119">
        <v>1</v>
      </c>
      <c r="L119">
        <v>0.74</v>
      </c>
      <c r="M119">
        <v>0.74</v>
      </c>
      <c r="N119">
        <v>0.85</v>
      </c>
      <c r="O119">
        <v>0.53</v>
      </c>
      <c r="P119">
        <v>0</v>
      </c>
      <c r="Q119">
        <v>0</v>
      </c>
      <c r="R119" t="s">
        <v>9</v>
      </c>
      <c r="S119" t="s">
        <v>54</v>
      </c>
      <c r="T119" t="s">
        <v>148</v>
      </c>
      <c r="U119" t="s">
        <v>158</v>
      </c>
      <c r="V119" t="s">
        <v>158</v>
      </c>
      <c r="W119" t="s">
        <v>159</v>
      </c>
      <c r="X119" t="s">
        <v>221</v>
      </c>
      <c r="Y119">
        <v>190490777001</v>
      </c>
      <c r="Z119" t="s">
        <v>222</v>
      </c>
      <c r="AB119" t="s">
        <v>61</v>
      </c>
    </row>
    <row r="120" spans="1:28" x14ac:dyDescent="0.25">
      <c r="A120">
        <v>191053</v>
      </c>
      <c r="B120" t="s">
        <v>417</v>
      </c>
      <c r="C120" s="21">
        <v>46190</v>
      </c>
      <c r="D120" t="s">
        <v>76</v>
      </c>
      <c r="E120" t="s">
        <v>77</v>
      </c>
      <c r="F120" t="s">
        <v>78</v>
      </c>
      <c r="G120" t="s">
        <v>78</v>
      </c>
      <c r="H120" t="s">
        <v>79</v>
      </c>
      <c r="I120" t="s">
        <v>79</v>
      </c>
      <c r="K120">
        <v>4</v>
      </c>
      <c r="L120">
        <v>0.01</v>
      </c>
      <c r="M120">
        <v>0.05</v>
      </c>
      <c r="N120">
        <v>0.05</v>
      </c>
      <c r="O120">
        <v>0.01</v>
      </c>
      <c r="P120">
        <v>0</v>
      </c>
      <c r="Q120">
        <v>0</v>
      </c>
      <c r="R120" t="s">
        <v>9</v>
      </c>
      <c r="S120" t="s">
        <v>54</v>
      </c>
      <c r="T120" t="s">
        <v>148</v>
      </c>
      <c r="U120" t="s">
        <v>158</v>
      </c>
      <c r="V120" t="s">
        <v>158</v>
      </c>
      <c r="W120" t="s">
        <v>159</v>
      </c>
      <c r="X120" t="s">
        <v>418</v>
      </c>
      <c r="Y120">
        <v>102121696001</v>
      </c>
      <c r="Z120" t="s">
        <v>419</v>
      </c>
      <c r="AB120" t="s">
        <v>61</v>
      </c>
    </row>
    <row r="121" spans="1:28" x14ac:dyDescent="0.25">
      <c r="A121">
        <v>191054</v>
      </c>
      <c r="B121" t="s">
        <v>417</v>
      </c>
      <c r="C121" s="21">
        <v>46190</v>
      </c>
      <c r="D121" t="s">
        <v>175</v>
      </c>
      <c r="E121" t="s">
        <v>176</v>
      </c>
      <c r="F121" t="s">
        <v>165</v>
      </c>
      <c r="G121" t="s">
        <v>165</v>
      </c>
      <c r="H121" t="s">
        <v>142</v>
      </c>
      <c r="I121" t="s">
        <v>142</v>
      </c>
      <c r="J121" t="s">
        <v>83</v>
      </c>
      <c r="K121">
        <v>1</v>
      </c>
      <c r="L121">
        <v>3.36</v>
      </c>
      <c r="M121">
        <v>3.36</v>
      </c>
      <c r="N121">
        <v>3.86</v>
      </c>
      <c r="O121">
        <v>2.2200000000000002</v>
      </c>
      <c r="P121">
        <v>0</v>
      </c>
      <c r="Q121">
        <v>0</v>
      </c>
      <c r="R121" t="s">
        <v>9</v>
      </c>
      <c r="S121" t="s">
        <v>54</v>
      </c>
      <c r="T121" t="s">
        <v>148</v>
      </c>
      <c r="U121" t="s">
        <v>158</v>
      </c>
      <c r="V121" t="s">
        <v>158</v>
      </c>
      <c r="W121" t="s">
        <v>159</v>
      </c>
      <c r="X121" t="s">
        <v>418</v>
      </c>
      <c r="Y121">
        <v>102121696001</v>
      </c>
      <c r="Z121" t="s">
        <v>419</v>
      </c>
      <c r="AB121" t="s">
        <v>61</v>
      </c>
    </row>
    <row r="122" spans="1:28" x14ac:dyDescent="0.25">
      <c r="A122">
        <v>191055</v>
      </c>
      <c r="B122" t="s">
        <v>417</v>
      </c>
      <c r="C122" s="21">
        <v>46190</v>
      </c>
      <c r="D122" t="s">
        <v>384</v>
      </c>
      <c r="E122" t="s">
        <v>385</v>
      </c>
      <c r="F122" t="s">
        <v>51</v>
      </c>
      <c r="G122" t="s">
        <v>51</v>
      </c>
      <c r="H122" t="s">
        <v>386</v>
      </c>
      <c r="I122" t="s">
        <v>386</v>
      </c>
      <c r="J122" t="s">
        <v>83</v>
      </c>
      <c r="K122">
        <v>1</v>
      </c>
      <c r="L122">
        <v>34.32</v>
      </c>
      <c r="M122">
        <v>34.32</v>
      </c>
      <c r="N122">
        <v>39.47</v>
      </c>
      <c r="O122">
        <v>25.82</v>
      </c>
      <c r="P122">
        <v>0</v>
      </c>
      <c r="Q122">
        <v>0</v>
      </c>
      <c r="R122" t="s">
        <v>9</v>
      </c>
      <c r="S122" t="s">
        <v>54</v>
      </c>
      <c r="T122" t="s">
        <v>148</v>
      </c>
      <c r="U122" t="s">
        <v>158</v>
      </c>
      <c r="V122" t="s">
        <v>158</v>
      </c>
      <c r="W122" t="s">
        <v>159</v>
      </c>
      <c r="X122" t="s">
        <v>418</v>
      </c>
      <c r="Y122">
        <v>102121696001</v>
      </c>
      <c r="Z122" t="s">
        <v>419</v>
      </c>
      <c r="AB122" t="s">
        <v>61</v>
      </c>
    </row>
    <row r="123" spans="1:28" x14ac:dyDescent="0.25">
      <c r="A123">
        <v>191090</v>
      </c>
      <c r="B123" t="s">
        <v>420</v>
      </c>
      <c r="C123" s="21">
        <v>46190</v>
      </c>
      <c r="D123" t="s">
        <v>421</v>
      </c>
      <c r="E123" t="s">
        <v>422</v>
      </c>
      <c r="F123" t="s">
        <v>146</v>
      </c>
      <c r="G123" t="s">
        <v>146</v>
      </c>
      <c r="H123" t="s">
        <v>423</v>
      </c>
      <c r="I123" t="s">
        <v>423</v>
      </c>
      <c r="J123" t="s">
        <v>83</v>
      </c>
      <c r="K123">
        <v>1</v>
      </c>
      <c r="L123">
        <v>7.44</v>
      </c>
      <c r="M123">
        <v>7.44</v>
      </c>
      <c r="N123">
        <v>8.5500000000000007</v>
      </c>
      <c r="O123">
        <v>5.72</v>
      </c>
      <c r="P123">
        <v>0</v>
      </c>
      <c r="Q123">
        <v>0</v>
      </c>
      <c r="R123" t="s">
        <v>9</v>
      </c>
      <c r="S123" t="s">
        <v>54</v>
      </c>
      <c r="T123" t="s">
        <v>148</v>
      </c>
      <c r="U123" t="s">
        <v>158</v>
      </c>
      <c r="V123" t="s">
        <v>158</v>
      </c>
      <c r="W123" t="s">
        <v>159</v>
      </c>
      <c r="X123" t="s">
        <v>166</v>
      </c>
      <c r="Y123">
        <v>106858798001</v>
      </c>
      <c r="Z123" t="s">
        <v>167</v>
      </c>
      <c r="AB123" t="s">
        <v>61</v>
      </c>
    </row>
    <row r="124" spans="1:28" x14ac:dyDescent="0.25">
      <c r="A124">
        <v>191091</v>
      </c>
      <c r="B124" t="s">
        <v>420</v>
      </c>
      <c r="C124" s="21">
        <v>46190</v>
      </c>
      <c r="D124" t="s">
        <v>424</v>
      </c>
      <c r="E124" t="s">
        <v>425</v>
      </c>
      <c r="F124" t="s">
        <v>235</v>
      </c>
      <c r="G124" t="s">
        <v>235</v>
      </c>
      <c r="H124" t="s">
        <v>142</v>
      </c>
      <c r="I124" t="s">
        <v>142</v>
      </c>
      <c r="J124" t="s">
        <v>83</v>
      </c>
      <c r="K124">
        <v>1</v>
      </c>
      <c r="L124">
        <v>4.5199999999999996</v>
      </c>
      <c r="M124">
        <v>4.5199999999999996</v>
      </c>
      <c r="N124">
        <v>5.2</v>
      </c>
      <c r="O124">
        <v>2.91</v>
      </c>
      <c r="P124">
        <v>0</v>
      </c>
      <c r="Q124">
        <v>0</v>
      </c>
      <c r="R124" t="s">
        <v>9</v>
      </c>
      <c r="S124" t="s">
        <v>54</v>
      </c>
      <c r="T124" t="s">
        <v>148</v>
      </c>
      <c r="U124" t="s">
        <v>158</v>
      </c>
      <c r="V124" t="s">
        <v>158</v>
      </c>
      <c r="W124" t="s">
        <v>159</v>
      </c>
      <c r="X124" t="s">
        <v>166</v>
      </c>
      <c r="Y124">
        <v>106858798001</v>
      </c>
      <c r="Z124" t="s">
        <v>167</v>
      </c>
      <c r="AB124" t="s">
        <v>61</v>
      </c>
    </row>
    <row r="125" spans="1:28" x14ac:dyDescent="0.25">
      <c r="A125">
        <v>191199</v>
      </c>
      <c r="B125" t="s">
        <v>426</v>
      </c>
      <c r="C125" s="21">
        <v>46190</v>
      </c>
      <c r="D125" t="s">
        <v>76</v>
      </c>
      <c r="E125" t="s">
        <v>77</v>
      </c>
      <c r="F125" t="s">
        <v>78</v>
      </c>
      <c r="G125" t="s">
        <v>78</v>
      </c>
      <c r="H125" t="s">
        <v>79</v>
      </c>
      <c r="I125" t="s">
        <v>79</v>
      </c>
      <c r="K125">
        <v>2</v>
      </c>
      <c r="L125">
        <v>0.01</v>
      </c>
      <c r="M125">
        <v>0.02</v>
      </c>
      <c r="N125">
        <v>0.03</v>
      </c>
      <c r="O125">
        <v>0.01</v>
      </c>
      <c r="P125">
        <v>0</v>
      </c>
      <c r="Q125">
        <v>0</v>
      </c>
      <c r="R125" t="s">
        <v>9</v>
      </c>
      <c r="S125" t="s">
        <v>54</v>
      </c>
      <c r="T125" t="s">
        <v>148</v>
      </c>
      <c r="U125" t="s">
        <v>158</v>
      </c>
      <c r="V125" t="s">
        <v>158</v>
      </c>
      <c r="W125" t="s">
        <v>159</v>
      </c>
      <c r="X125" t="s">
        <v>427</v>
      </c>
      <c r="Y125">
        <v>105381008</v>
      </c>
      <c r="Z125" t="s">
        <v>428</v>
      </c>
      <c r="AB125" t="s">
        <v>61</v>
      </c>
    </row>
    <row r="126" spans="1:28" x14ac:dyDescent="0.25">
      <c r="A126">
        <v>191200</v>
      </c>
      <c r="B126" t="s">
        <v>426</v>
      </c>
      <c r="C126" s="21">
        <v>46190</v>
      </c>
      <c r="D126" t="s">
        <v>429</v>
      </c>
      <c r="E126" t="s">
        <v>430</v>
      </c>
      <c r="F126" t="s">
        <v>89</v>
      </c>
      <c r="G126" t="s">
        <v>89</v>
      </c>
      <c r="H126" t="s">
        <v>359</v>
      </c>
      <c r="I126" t="s">
        <v>359</v>
      </c>
      <c r="J126" t="s">
        <v>53</v>
      </c>
      <c r="K126">
        <v>1</v>
      </c>
      <c r="L126">
        <v>18.420000000000002</v>
      </c>
      <c r="M126">
        <v>18.420000000000002</v>
      </c>
      <c r="N126">
        <v>21.18</v>
      </c>
      <c r="O126">
        <v>13</v>
      </c>
      <c r="P126">
        <v>0</v>
      </c>
      <c r="Q126">
        <v>0</v>
      </c>
      <c r="R126" t="s">
        <v>9</v>
      </c>
      <c r="S126" t="s">
        <v>54</v>
      </c>
      <c r="T126" t="s">
        <v>148</v>
      </c>
      <c r="U126" t="s">
        <v>158</v>
      </c>
      <c r="V126" t="s">
        <v>158</v>
      </c>
      <c r="W126" t="s">
        <v>159</v>
      </c>
      <c r="X126" t="s">
        <v>427</v>
      </c>
      <c r="Y126">
        <v>105381008</v>
      </c>
      <c r="Z126" t="s">
        <v>428</v>
      </c>
      <c r="AB126" t="s">
        <v>61</v>
      </c>
    </row>
    <row r="127" spans="1:28" x14ac:dyDescent="0.25">
      <c r="A127">
        <v>191201</v>
      </c>
      <c r="B127" t="s">
        <v>426</v>
      </c>
      <c r="C127" s="21">
        <v>46190</v>
      </c>
      <c r="D127" t="s">
        <v>431</v>
      </c>
      <c r="E127" t="s">
        <v>432</v>
      </c>
      <c r="F127" t="s">
        <v>51</v>
      </c>
      <c r="G127" t="s">
        <v>51</v>
      </c>
      <c r="H127" t="s">
        <v>332</v>
      </c>
      <c r="I127" t="s">
        <v>332</v>
      </c>
      <c r="J127" t="s">
        <v>53</v>
      </c>
      <c r="K127">
        <v>2</v>
      </c>
      <c r="L127">
        <v>4.24</v>
      </c>
      <c r="M127">
        <v>8.48</v>
      </c>
      <c r="N127">
        <v>9.75</v>
      </c>
      <c r="O127">
        <v>3.01</v>
      </c>
      <c r="P127">
        <v>0</v>
      </c>
      <c r="Q127">
        <v>0</v>
      </c>
      <c r="R127" t="s">
        <v>9</v>
      </c>
      <c r="S127" t="s">
        <v>54</v>
      </c>
      <c r="T127" t="s">
        <v>148</v>
      </c>
      <c r="U127" t="s">
        <v>158</v>
      </c>
      <c r="V127" t="s">
        <v>158</v>
      </c>
      <c r="W127" t="s">
        <v>159</v>
      </c>
      <c r="X127" t="s">
        <v>427</v>
      </c>
      <c r="Y127">
        <v>105381008</v>
      </c>
      <c r="Z127" t="s">
        <v>428</v>
      </c>
      <c r="AB127" t="s">
        <v>61</v>
      </c>
    </row>
    <row r="128" spans="1:28" x14ac:dyDescent="0.25">
      <c r="A128">
        <v>191202</v>
      </c>
      <c r="B128" t="s">
        <v>433</v>
      </c>
      <c r="C128" s="21">
        <v>46190</v>
      </c>
      <c r="D128" t="s">
        <v>434</v>
      </c>
      <c r="E128" t="s">
        <v>435</v>
      </c>
      <c r="F128" t="s">
        <v>89</v>
      </c>
      <c r="G128" t="s">
        <v>89</v>
      </c>
      <c r="H128" t="s">
        <v>436</v>
      </c>
      <c r="I128" t="s">
        <v>436</v>
      </c>
      <c r="J128" t="s">
        <v>83</v>
      </c>
      <c r="K128">
        <v>1</v>
      </c>
      <c r="L128">
        <v>4.76</v>
      </c>
      <c r="M128">
        <v>4.76</v>
      </c>
      <c r="N128">
        <v>5.47</v>
      </c>
      <c r="O128">
        <v>3.4</v>
      </c>
      <c r="P128">
        <v>0</v>
      </c>
      <c r="Q128">
        <v>0</v>
      </c>
      <c r="R128" t="s">
        <v>9</v>
      </c>
      <c r="S128" t="s">
        <v>54</v>
      </c>
      <c r="T128" t="s">
        <v>148</v>
      </c>
      <c r="U128" t="s">
        <v>158</v>
      </c>
      <c r="V128" t="s">
        <v>158</v>
      </c>
      <c r="W128" t="s">
        <v>159</v>
      </c>
      <c r="X128" t="s">
        <v>437</v>
      </c>
      <c r="Y128">
        <v>105089940</v>
      </c>
      <c r="Z128" t="s">
        <v>438</v>
      </c>
      <c r="AB128" t="s">
        <v>61</v>
      </c>
    </row>
    <row r="129" spans="1:28" x14ac:dyDescent="0.25">
      <c r="A129">
        <v>191240</v>
      </c>
      <c r="B129" t="s">
        <v>439</v>
      </c>
      <c r="C129" s="21">
        <v>46190</v>
      </c>
      <c r="D129" t="s">
        <v>76</v>
      </c>
      <c r="E129" t="s">
        <v>77</v>
      </c>
      <c r="F129" t="s">
        <v>78</v>
      </c>
      <c r="G129" t="s">
        <v>78</v>
      </c>
      <c r="H129" t="s">
        <v>79</v>
      </c>
      <c r="I129" t="s">
        <v>79</v>
      </c>
      <c r="K129">
        <v>1</v>
      </c>
      <c r="L129">
        <v>0.01</v>
      </c>
      <c r="M129">
        <v>0.01</v>
      </c>
      <c r="N129">
        <v>0.01</v>
      </c>
      <c r="O129">
        <v>0.01</v>
      </c>
      <c r="P129">
        <v>0</v>
      </c>
      <c r="Q129">
        <v>0</v>
      </c>
      <c r="R129" t="s">
        <v>9</v>
      </c>
      <c r="S129" t="s">
        <v>54</v>
      </c>
      <c r="T129" t="s">
        <v>148</v>
      </c>
      <c r="U129" t="s">
        <v>158</v>
      </c>
      <c r="V129" t="s">
        <v>158</v>
      </c>
      <c r="W129" t="s">
        <v>159</v>
      </c>
      <c r="X129" t="s">
        <v>440</v>
      </c>
      <c r="Y129">
        <v>704273473</v>
      </c>
      <c r="Z129" t="s">
        <v>441</v>
      </c>
      <c r="AB129" t="s">
        <v>61</v>
      </c>
    </row>
    <row r="130" spans="1:28" x14ac:dyDescent="0.25">
      <c r="A130">
        <v>191241</v>
      </c>
      <c r="B130" t="s">
        <v>439</v>
      </c>
      <c r="C130" s="21">
        <v>46190</v>
      </c>
      <c r="D130" t="s">
        <v>123</v>
      </c>
      <c r="E130" t="s">
        <v>124</v>
      </c>
      <c r="F130" t="s">
        <v>51</v>
      </c>
      <c r="G130" t="s">
        <v>51</v>
      </c>
      <c r="H130" t="s">
        <v>125</v>
      </c>
      <c r="I130" t="s">
        <v>125</v>
      </c>
      <c r="J130" t="s">
        <v>83</v>
      </c>
      <c r="K130">
        <v>1</v>
      </c>
      <c r="L130">
        <v>3.8</v>
      </c>
      <c r="M130">
        <v>3.8</v>
      </c>
      <c r="N130">
        <v>4.37</v>
      </c>
      <c r="O130">
        <v>2.65</v>
      </c>
      <c r="P130">
        <v>0</v>
      </c>
      <c r="Q130">
        <v>0</v>
      </c>
      <c r="R130" t="s">
        <v>9</v>
      </c>
      <c r="S130" t="s">
        <v>54</v>
      </c>
      <c r="T130" t="s">
        <v>148</v>
      </c>
      <c r="U130" t="s">
        <v>158</v>
      </c>
      <c r="V130" t="s">
        <v>158</v>
      </c>
      <c r="W130" t="s">
        <v>159</v>
      </c>
      <c r="X130" t="s">
        <v>440</v>
      </c>
      <c r="Y130">
        <v>704273473</v>
      </c>
      <c r="Z130" t="s">
        <v>441</v>
      </c>
      <c r="AB130" t="s">
        <v>61</v>
      </c>
    </row>
    <row r="131" spans="1:28" x14ac:dyDescent="0.25">
      <c r="A131">
        <v>191249</v>
      </c>
      <c r="B131" t="s">
        <v>442</v>
      </c>
      <c r="C131" s="21">
        <v>46190</v>
      </c>
      <c r="D131" t="s">
        <v>443</v>
      </c>
      <c r="E131" t="s">
        <v>444</v>
      </c>
      <c r="F131" t="s">
        <v>165</v>
      </c>
      <c r="G131" t="s">
        <v>165</v>
      </c>
      <c r="H131" t="s">
        <v>69</v>
      </c>
      <c r="I131" t="s">
        <v>70</v>
      </c>
      <c r="J131" t="s">
        <v>71</v>
      </c>
      <c r="K131">
        <v>1</v>
      </c>
      <c r="L131">
        <v>5.28</v>
      </c>
      <c r="M131">
        <v>5.28</v>
      </c>
      <c r="N131">
        <v>6.07</v>
      </c>
      <c r="O131">
        <v>2.23</v>
      </c>
      <c r="P131">
        <v>0</v>
      </c>
      <c r="Q131">
        <v>0</v>
      </c>
      <c r="R131" t="s">
        <v>9</v>
      </c>
      <c r="S131" t="s">
        <v>147</v>
      </c>
      <c r="T131" t="s">
        <v>148</v>
      </c>
      <c r="U131" t="s">
        <v>158</v>
      </c>
      <c r="V131" t="s">
        <v>158</v>
      </c>
      <c r="W131" t="s">
        <v>159</v>
      </c>
      <c r="X131" t="s">
        <v>445</v>
      </c>
      <c r="Y131">
        <v>913800751</v>
      </c>
      <c r="Z131" t="s">
        <v>446</v>
      </c>
    </row>
    <row r="132" spans="1:28" hidden="1" x14ac:dyDescent="0.25">
      <c r="A132">
        <v>191250</v>
      </c>
      <c r="B132" t="s">
        <v>447</v>
      </c>
      <c r="C132" s="21">
        <v>46190</v>
      </c>
      <c r="D132" t="s">
        <v>76</v>
      </c>
      <c r="E132" t="s">
        <v>77</v>
      </c>
      <c r="F132" t="s">
        <v>78</v>
      </c>
      <c r="G132" t="s">
        <v>78</v>
      </c>
      <c r="H132" t="s">
        <v>79</v>
      </c>
      <c r="I132" t="s">
        <v>79</v>
      </c>
      <c r="K132">
        <v>1</v>
      </c>
      <c r="L132">
        <v>0.01</v>
      </c>
      <c r="M132">
        <v>0.01</v>
      </c>
      <c r="N132">
        <v>0.01</v>
      </c>
      <c r="O132">
        <v>0.01</v>
      </c>
      <c r="P132">
        <v>0</v>
      </c>
      <c r="Q132">
        <v>0</v>
      </c>
      <c r="R132" t="s">
        <v>9</v>
      </c>
      <c r="S132" t="s">
        <v>172</v>
      </c>
      <c r="T132" t="s">
        <v>148</v>
      </c>
      <c r="U132" t="s">
        <v>149</v>
      </c>
      <c r="V132" t="s">
        <v>149</v>
      </c>
      <c r="W132" t="s">
        <v>150</v>
      </c>
      <c r="X132" t="s">
        <v>448</v>
      </c>
      <c r="Y132">
        <v>102782497</v>
      </c>
      <c r="Z132" t="s">
        <v>449</v>
      </c>
      <c r="AB132" t="s">
        <v>61</v>
      </c>
    </row>
    <row r="133" spans="1:28" hidden="1" x14ac:dyDescent="0.25">
      <c r="A133">
        <v>191251</v>
      </c>
      <c r="B133" t="s">
        <v>447</v>
      </c>
      <c r="C133" s="21">
        <v>46190</v>
      </c>
      <c r="D133" t="s">
        <v>450</v>
      </c>
      <c r="E133" t="s">
        <v>451</v>
      </c>
      <c r="F133" t="s">
        <v>51</v>
      </c>
      <c r="G133" t="s">
        <v>51</v>
      </c>
      <c r="H133" t="s">
        <v>452</v>
      </c>
      <c r="I133" t="s">
        <v>452</v>
      </c>
      <c r="J133" t="s">
        <v>83</v>
      </c>
      <c r="K133">
        <v>1</v>
      </c>
      <c r="L133">
        <v>5.54</v>
      </c>
      <c r="M133">
        <v>5.54</v>
      </c>
      <c r="N133">
        <v>6.37</v>
      </c>
      <c r="O133">
        <v>3.65</v>
      </c>
      <c r="P133">
        <v>0</v>
      </c>
      <c r="Q133">
        <v>0</v>
      </c>
      <c r="R133" t="s">
        <v>9</v>
      </c>
      <c r="S133" t="s">
        <v>172</v>
      </c>
      <c r="T133" t="s">
        <v>148</v>
      </c>
      <c r="U133" t="s">
        <v>149</v>
      </c>
      <c r="V133" t="s">
        <v>149</v>
      </c>
      <c r="W133" t="s">
        <v>150</v>
      </c>
      <c r="X133" t="s">
        <v>448</v>
      </c>
      <c r="Y133">
        <v>102782497</v>
      </c>
      <c r="Z133" t="s">
        <v>449</v>
      </c>
      <c r="AB133" t="s">
        <v>61</v>
      </c>
    </row>
    <row r="134" spans="1:28" x14ac:dyDescent="0.25">
      <c r="A134">
        <v>191288</v>
      </c>
      <c r="B134" t="s">
        <v>453</v>
      </c>
      <c r="C134" s="21">
        <v>46190</v>
      </c>
      <c r="D134" t="s">
        <v>454</v>
      </c>
      <c r="E134" t="s">
        <v>455</v>
      </c>
      <c r="F134" t="s">
        <v>171</v>
      </c>
      <c r="G134" t="s">
        <v>171</v>
      </c>
      <c r="H134" t="s">
        <v>456</v>
      </c>
      <c r="I134" t="s">
        <v>456</v>
      </c>
      <c r="J134" t="s">
        <v>53</v>
      </c>
      <c r="K134">
        <v>4</v>
      </c>
      <c r="L134">
        <v>1.19</v>
      </c>
      <c r="M134">
        <v>4.76</v>
      </c>
      <c r="N134">
        <v>5.47</v>
      </c>
      <c r="O134">
        <v>0.6</v>
      </c>
      <c r="P134">
        <v>0</v>
      </c>
      <c r="Q134">
        <v>0</v>
      </c>
      <c r="R134" t="s">
        <v>9</v>
      </c>
      <c r="S134" t="s">
        <v>147</v>
      </c>
      <c r="T134" t="s">
        <v>148</v>
      </c>
      <c r="U134" t="s">
        <v>158</v>
      </c>
      <c r="V134" t="s">
        <v>158</v>
      </c>
      <c r="W134" t="s">
        <v>159</v>
      </c>
      <c r="X134" t="s">
        <v>457</v>
      </c>
      <c r="Y134">
        <v>105242234</v>
      </c>
      <c r="Z134" t="s">
        <v>458</v>
      </c>
    </row>
    <row r="135" spans="1:28" x14ac:dyDescent="0.25">
      <c r="A135">
        <v>191289</v>
      </c>
      <c r="B135" t="s">
        <v>453</v>
      </c>
      <c r="C135" s="21">
        <v>46190</v>
      </c>
      <c r="D135" t="s">
        <v>459</v>
      </c>
      <c r="E135" t="s">
        <v>460</v>
      </c>
      <c r="F135" t="s">
        <v>301</v>
      </c>
      <c r="G135" t="s">
        <v>301</v>
      </c>
      <c r="H135" t="s">
        <v>332</v>
      </c>
      <c r="I135" t="s">
        <v>332</v>
      </c>
      <c r="J135" t="s">
        <v>53</v>
      </c>
      <c r="K135">
        <v>1</v>
      </c>
      <c r="L135">
        <v>5.95</v>
      </c>
      <c r="M135">
        <v>5.95</v>
      </c>
      <c r="N135">
        <v>6.85</v>
      </c>
      <c r="O135">
        <v>3.83</v>
      </c>
      <c r="P135">
        <v>0</v>
      </c>
      <c r="Q135">
        <v>0</v>
      </c>
      <c r="R135" t="s">
        <v>9</v>
      </c>
      <c r="S135" t="s">
        <v>147</v>
      </c>
      <c r="T135" t="s">
        <v>148</v>
      </c>
      <c r="U135" t="s">
        <v>158</v>
      </c>
      <c r="V135" t="s">
        <v>158</v>
      </c>
      <c r="W135" t="s">
        <v>159</v>
      </c>
      <c r="X135" t="s">
        <v>457</v>
      </c>
      <c r="Y135">
        <v>105242234</v>
      </c>
      <c r="Z135" t="s">
        <v>458</v>
      </c>
    </row>
    <row r="136" spans="1:28" x14ac:dyDescent="0.25">
      <c r="A136">
        <v>191365</v>
      </c>
      <c r="B136" t="s">
        <v>461</v>
      </c>
      <c r="C136" s="21">
        <v>46190</v>
      </c>
      <c r="D136" t="s">
        <v>462</v>
      </c>
      <c r="E136" t="s">
        <v>463</v>
      </c>
      <c r="F136" t="s">
        <v>235</v>
      </c>
      <c r="G136" t="s">
        <v>235</v>
      </c>
      <c r="H136" t="s">
        <v>464</v>
      </c>
      <c r="I136" t="s">
        <v>464</v>
      </c>
      <c r="J136" t="s">
        <v>83</v>
      </c>
      <c r="K136">
        <v>1</v>
      </c>
      <c r="L136">
        <v>10.88</v>
      </c>
      <c r="M136">
        <v>10.88</v>
      </c>
      <c r="N136">
        <v>12.51</v>
      </c>
      <c r="O136">
        <v>6.79</v>
      </c>
      <c r="P136">
        <v>0</v>
      </c>
      <c r="Q136">
        <v>0</v>
      </c>
      <c r="R136" t="s">
        <v>9</v>
      </c>
      <c r="S136" t="s">
        <v>147</v>
      </c>
      <c r="T136" t="s">
        <v>148</v>
      </c>
      <c r="U136" t="s">
        <v>158</v>
      </c>
      <c r="V136" t="s">
        <v>158</v>
      </c>
      <c r="W136" t="s">
        <v>159</v>
      </c>
      <c r="X136" t="s">
        <v>465</v>
      </c>
      <c r="Y136">
        <v>1205066960</v>
      </c>
      <c r="Z136" t="s">
        <v>466</v>
      </c>
    </row>
    <row r="137" spans="1:28" x14ac:dyDescent="0.25">
      <c r="A137">
        <v>191372</v>
      </c>
      <c r="B137" t="s">
        <v>467</v>
      </c>
      <c r="C137" s="21">
        <v>46190</v>
      </c>
      <c r="D137" t="s">
        <v>281</v>
      </c>
      <c r="E137" t="s">
        <v>282</v>
      </c>
      <c r="F137" t="s">
        <v>171</v>
      </c>
      <c r="G137" t="s">
        <v>171</v>
      </c>
      <c r="H137" t="s">
        <v>142</v>
      </c>
      <c r="I137" t="s">
        <v>142</v>
      </c>
      <c r="J137" t="s">
        <v>83</v>
      </c>
      <c r="K137">
        <v>1</v>
      </c>
      <c r="L137">
        <v>8.61</v>
      </c>
      <c r="M137">
        <v>8.61</v>
      </c>
      <c r="N137">
        <v>9.9</v>
      </c>
      <c r="O137">
        <v>5.0999999999999996</v>
      </c>
      <c r="P137">
        <v>0</v>
      </c>
      <c r="Q137">
        <v>0</v>
      </c>
      <c r="R137" t="s">
        <v>9</v>
      </c>
      <c r="S137" t="s">
        <v>54</v>
      </c>
      <c r="T137" t="s">
        <v>55</v>
      </c>
      <c r="U137" t="s">
        <v>158</v>
      </c>
      <c r="V137" t="s">
        <v>158</v>
      </c>
      <c r="W137" t="s">
        <v>159</v>
      </c>
      <c r="X137" t="s">
        <v>283</v>
      </c>
      <c r="Y137">
        <v>195155712001</v>
      </c>
      <c r="Z137" t="s">
        <v>284</v>
      </c>
    </row>
    <row r="138" spans="1:28" x14ac:dyDescent="0.25">
      <c r="A138">
        <v>191376</v>
      </c>
      <c r="B138" t="s">
        <v>468</v>
      </c>
      <c r="C138" s="21">
        <v>46190</v>
      </c>
      <c r="D138" t="s">
        <v>469</v>
      </c>
      <c r="E138" t="s">
        <v>470</v>
      </c>
      <c r="F138" t="s">
        <v>165</v>
      </c>
      <c r="G138" t="s">
        <v>165</v>
      </c>
      <c r="H138" t="s">
        <v>69</v>
      </c>
      <c r="I138" t="s">
        <v>70</v>
      </c>
      <c r="J138" t="s">
        <v>71</v>
      </c>
      <c r="K138">
        <v>2</v>
      </c>
      <c r="L138">
        <v>2.92</v>
      </c>
      <c r="M138">
        <v>5.85</v>
      </c>
      <c r="N138">
        <v>6.72</v>
      </c>
      <c r="O138">
        <v>1.57</v>
      </c>
      <c r="P138">
        <v>0</v>
      </c>
      <c r="Q138">
        <v>0</v>
      </c>
      <c r="R138" t="s">
        <v>9</v>
      </c>
      <c r="S138" t="s">
        <v>54</v>
      </c>
      <c r="T138" t="s">
        <v>148</v>
      </c>
      <c r="U138" t="s">
        <v>158</v>
      </c>
      <c r="V138" t="s">
        <v>158</v>
      </c>
      <c r="W138" t="s">
        <v>159</v>
      </c>
      <c r="X138" t="s">
        <v>166</v>
      </c>
      <c r="Y138">
        <v>106858798001</v>
      </c>
      <c r="Z138" t="s">
        <v>167</v>
      </c>
      <c r="AB138" t="s">
        <v>61</v>
      </c>
    </row>
    <row r="139" spans="1:28" hidden="1" x14ac:dyDescent="0.25">
      <c r="A139">
        <v>191377</v>
      </c>
      <c r="B139" t="s">
        <v>471</v>
      </c>
      <c r="C139" s="21">
        <v>46190</v>
      </c>
      <c r="D139" t="s">
        <v>472</v>
      </c>
      <c r="E139" t="s">
        <v>473</v>
      </c>
      <c r="F139" t="s">
        <v>89</v>
      </c>
      <c r="G139" t="s">
        <v>89</v>
      </c>
      <c r="H139" t="s">
        <v>474</v>
      </c>
      <c r="I139" t="s">
        <v>474</v>
      </c>
      <c r="J139" t="s">
        <v>53</v>
      </c>
      <c r="K139">
        <v>1</v>
      </c>
      <c r="L139">
        <v>1.98</v>
      </c>
      <c r="M139">
        <v>1.98</v>
      </c>
      <c r="N139">
        <v>2.2799999999999998</v>
      </c>
      <c r="O139">
        <v>1.52</v>
      </c>
      <c r="P139">
        <v>0</v>
      </c>
      <c r="Q139">
        <v>0</v>
      </c>
      <c r="R139" t="s">
        <v>9</v>
      </c>
      <c r="S139" t="s">
        <v>54</v>
      </c>
      <c r="T139" t="s">
        <v>55</v>
      </c>
      <c r="U139" t="s">
        <v>149</v>
      </c>
      <c r="V139" t="s">
        <v>149</v>
      </c>
      <c r="W139" t="s">
        <v>150</v>
      </c>
      <c r="X139" t="s">
        <v>475</v>
      </c>
      <c r="Y139">
        <v>104425533001</v>
      </c>
      <c r="Z139" t="s">
        <v>476</v>
      </c>
      <c r="AA139" t="s">
        <v>60</v>
      </c>
      <c r="AB139" t="s">
        <v>61</v>
      </c>
    </row>
    <row r="140" spans="1:28" hidden="1" x14ac:dyDescent="0.25">
      <c r="A140">
        <v>191400</v>
      </c>
      <c r="B140" t="s">
        <v>477</v>
      </c>
      <c r="C140" s="21">
        <v>46190</v>
      </c>
      <c r="D140" t="s">
        <v>478</v>
      </c>
      <c r="E140" t="s">
        <v>479</v>
      </c>
      <c r="F140" t="s">
        <v>165</v>
      </c>
      <c r="G140" t="s">
        <v>165</v>
      </c>
      <c r="H140" t="s">
        <v>125</v>
      </c>
      <c r="I140" t="s">
        <v>125</v>
      </c>
      <c r="J140" t="s">
        <v>83</v>
      </c>
      <c r="K140">
        <v>1</v>
      </c>
      <c r="L140">
        <v>2.96</v>
      </c>
      <c r="M140">
        <v>2.96</v>
      </c>
      <c r="N140">
        <v>3.41</v>
      </c>
      <c r="O140">
        <v>2.12</v>
      </c>
      <c r="P140">
        <v>0</v>
      </c>
      <c r="Q140">
        <v>0</v>
      </c>
      <c r="R140" t="s">
        <v>9</v>
      </c>
      <c r="S140" t="s">
        <v>54</v>
      </c>
      <c r="T140" t="s">
        <v>148</v>
      </c>
      <c r="U140" t="s">
        <v>149</v>
      </c>
      <c r="V140" t="s">
        <v>149</v>
      </c>
      <c r="W140" t="s">
        <v>150</v>
      </c>
      <c r="X140" t="s">
        <v>198</v>
      </c>
      <c r="Y140">
        <v>195116555001</v>
      </c>
      <c r="Z140" t="s">
        <v>199</v>
      </c>
      <c r="AB140" t="s">
        <v>61</v>
      </c>
    </row>
    <row r="141" spans="1:28" hidden="1" x14ac:dyDescent="0.25">
      <c r="A141">
        <v>191435</v>
      </c>
      <c r="B141" t="s">
        <v>480</v>
      </c>
      <c r="C141" s="21">
        <v>46190</v>
      </c>
      <c r="D141" t="s">
        <v>76</v>
      </c>
      <c r="E141" t="s">
        <v>77</v>
      </c>
      <c r="F141" t="s">
        <v>78</v>
      </c>
      <c r="G141" t="s">
        <v>78</v>
      </c>
      <c r="H141" t="s">
        <v>79</v>
      </c>
      <c r="I141" t="s">
        <v>79</v>
      </c>
      <c r="K141">
        <v>4</v>
      </c>
      <c r="L141">
        <v>0.01</v>
      </c>
      <c r="M141">
        <v>0.05</v>
      </c>
      <c r="N141">
        <v>0.05</v>
      </c>
      <c r="O141">
        <v>0.01</v>
      </c>
      <c r="P141">
        <v>0</v>
      </c>
      <c r="Q141">
        <v>0</v>
      </c>
      <c r="R141" t="s">
        <v>9</v>
      </c>
      <c r="S141" t="s">
        <v>54</v>
      </c>
      <c r="T141" t="s">
        <v>148</v>
      </c>
      <c r="U141" t="s">
        <v>149</v>
      </c>
      <c r="V141" t="s">
        <v>149</v>
      </c>
      <c r="W141" t="s">
        <v>150</v>
      </c>
      <c r="X141" t="s">
        <v>375</v>
      </c>
      <c r="Y141">
        <v>107349847</v>
      </c>
      <c r="Z141" t="s">
        <v>376</v>
      </c>
      <c r="AB141" t="s">
        <v>61</v>
      </c>
    </row>
    <row r="142" spans="1:28" hidden="1" x14ac:dyDescent="0.25">
      <c r="A142">
        <v>191436</v>
      </c>
      <c r="B142" t="s">
        <v>480</v>
      </c>
      <c r="C142" s="21">
        <v>46190</v>
      </c>
      <c r="D142" t="s">
        <v>481</v>
      </c>
      <c r="E142" t="s">
        <v>482</v>
      </c>
      <c r="F142" t="s">
        <v>51</v>
      </c>
      <c r="G142" t="s">
        <v>51</v>
      </c>
      <c r="H142" t="s">
        <v>386</v>
      </c>
      <c r="I142" t="s">
        <v>386</v>
      </c>
      <c r="J142" t="s">
        <v>71</v>
      </c>
      <c r="K142">
        <v>2</v>
      </c>
      <c r="L142">
        <v>9.1</v>
      </c>
      <c r="M142">
        <v>18.2</v>
      </c>
      <c r="N142">
        <v>20.93</v>
      </c>
      <c r="O142">
        <v>6.3</v>
      </c>
      <c r="P142">
        <v>0</v>
      </c>
      <c r="Q142">
        <v>0</v>
      </c>
      <c r="R142" t="s">
        <v>9</v>
      </c>
      <c r="S142" t="s">
        <v>54</v>
      </c>
      <c r="T142" t="s">
        <v>148</v>
      </c>
      <c r="U142" t="s">
        <v>149</v>
      </c>
      <c r="V142" t="s">
        <v>149</v>
      </c>
      <c r="W142" t="s">
        <v>150</v>
      </c>
      <c r="X142" t="s">
        <v>375</v>
      </c>
      <c r="Y142">
        <v>107349847</v>
      </c>
      <c r="Z142" t="s">
        <v>376</v>
      </c>
      <c r="AB142" t="s">
        <v>61</v>
      </c>
    </row>
    <row r="143" spans="1:28" hidden="1" x14ac:dyDescent="0.25">
      <c r="A143">
        <v>191437</v>
      </c>
      <c r="B143" t="s">
        <v>480</v>
      </c>
      <c r="C143" s="21">
        <v>46190</v>
      </c>
      <c r="D143" t="s">
        <v>483</v>
      </c>
      <c r="E143" t="s">
        <v>484</v>
      </c>
      <c r="F143" t="s">
        <v>51</v>
      </c>
      <c r="G143" t="s">
        <v>51</v>
      </c>
      <c r="H143" t="s">
        <v>386</v>
      </c>
      <c r="I143" t="s">
        <v>386</v>
      </c>
      <c r="J143" t="s">
        <v>71</v>
      </c>
      <c r="K143">
        <v>2</v>
      </c>
      <c r="L143">
        <v>9.1</v>
      </c>
      <c r="M143">
        <v>18.2</v>
      </c>
      <c r="N143">
        <v>20.93</v>
      </c>
      <c r="O143">
        <v>7</v>
      </c>
      <c r="P143">
        <v>0</v>
      </c>
      <c r="Q143">
        <v>0</v>
      </c>
      <c r="R143" t="s">
        <v>9</v>
      </c>
      <c r="S143" t="s">
        <v>54</v>
      </c>
      <c r="T143" t="s">
        <v>148</v>
      </c>
      <c r="U143" t="s">
        <v>149</v>
      </c>
      <c r="V143" t="s">
        <v>149</v>
      </c>
      <c r="W143" t="s">
        <v>150</v>
      </c>
      <c r="X143" t="s">
        <v>375</v>
      </c>
      <c r="Y143">
        <v>107349847</v>
      </c>
      <c r="Z143" t="s">
        <v>376</v>
      </c>
      <c r="AB143" t="s">
        <v>61</v>
      </c>
    </row>
    <row r="144" spans="1:28" x14ac:dyDescent="0.25">
      <c r="A144">
        <v>191445</v>
      </c>
      <c r="B144" t="s">
        <v>485</v>
      </c>
      <c r="C144" s="21">
        <v>46190</v>
      </c>
      <c r="D144" t="s">
        <v>355</v>
      </c>
      <c r="E144" t="s">
        <v>356</v>
      </c>
      <c r="F144" t="s">
        <v>51</v>
      </c>
      <c r="G144" t="s">
        <v>51</v>
      </c>
      <c r="H144" t="s">
        <v>354</v>
      </c>
      <c r="I144" t="s">
        <v>354</v>
      </c>
      <c r="J144" t="s">
        <v>53</v>
      </c>
      <c r="K144">
        <v>1</v>
      </c>
      <c r="L144">
        <v>21.27</v>
      </c>
      <c r="M144">
        <v>21.27</v>
      </c>
      <c r="N144">
        <v>24.46</v>
      </c>
      <c r="O144">
        <v>14.48</v>
      </c>
      <c r="P144">
        <v>0</v>
      </c>
      <c r="Q144">
        <v>0</v>
      </c>
      <c r="R144" t="s">
        <v>9</v>
      </c>
      <c r="S144" t="s">
        <v>54</v>
      </c>
      <c r="T144" t="s">
        <v>148</v>
      </c>
      <c r="U144" t="s">
        <v>158</v>
      </c>
      <c r="V144" t="s">
        <v>158</v>
      </c>
      <c r="W144" t="s">
        <v>159</v>
      </c>
      <c r="X144" t="s">
        <v>486</v>
      </c>
      <c r="Y144">
        <v>1103722862</v>
      </c>
      <c r="Z144" t="s">
        <v>487</v>
      </c>
      <c r="AB144" t="s">
        <v>61</v>
      </c>
    </row>
    <row r="145" spans="1:28" x14ac:dyDescent="0.25">
      <c r="A145">
        <v>191446</v>
      </c>
      <c r="B145" t="s">
        <v>485</v>
      </c>
      <c r="C145" s="21">
        <v>46190</v>
      </c>
      <c r="D145" t="s">
        <v>76</v>
      </c>
      <c r="E145" t="s">
        <v>77</v>
      </c>
      <c r="F145" t="s">
        <v>78</v>
      </c>
      <c r="G145" t="s">
        <v>78</v>
      </c>
      <c r="H145" t="s">
        <v>79</v>
      </c>
      <c r="I145" t="s">
        <v>79</v>
      </c>
      <c r="K145">
        <v>4</v>
      </c>
      <c r="L145">
        <v>0.01</v>
      </c>
      <c r="M145">
        <v>0.05</v>
      </c>
      <c r="N145">
        <v>0.05</v>
      </c>
      <c r="O145">
        <v>0.01</v>
      </c>
      <c r="P145">
        <v>0</v>
      </c>
      <c r="Q145">
        <v>0</v>
      </c>
      <c r="R145" t="s">
        <v>9</v>
      </c>
      <c r="S145" t="s">
        <v>54</v>
      </c>
      <c r="T145" t="s">
        <v>148</v>
      </c>
      <c r="U145" t="s">
        <v>158</v>
      </c>
      <c r="V145" t="s">
        <v>158</v>
      </c>
      <c r="W145" t="s">
        <v>159</v>
      </c>
      <c r="X145" t="s">
        <v>486</v>
      </c>
      <c r="Y145">
        <v>1103722862</v>
      </c>
      <c r="Z145" t="s">
        <v>487</v>
      </c>
      <c r="AB145" t="s">
        <v>61</v>
      </c>
    </row>
    <row r="146" spans="1:28" hidden="1" x14ac:dyDescent="0.25">
      <c r="A146">
        <v>191447</v>
      </c>
      <c r="B146" t="s">
        <v>488</v>
      </c>
      <c r="C146" s="21">
        <v>46190</v>
      </c>
      <c r="D146" t="s">
        <v>489</v>
      </c>
      <c r="E146" t="s">
        <v>490</v>
      </c>
      <c r="F146" t="s">
        <v>51</v>
      </c>
      <c r="G146" t="s">
        <v>51</v>
      </c>
      <c r="H146" t="s">
        <v>491</v>
      </c>
      <c r="I146" t="s">
        <v>491</v>
      </c>
      <c r="J146" t="s">
        <v>83</v>
      </c>
      <c r="K146">
        <v>1</v>
      </c>
      <c r="L146">
        <v>18.07</v>
      </c>
      <c r="M146">
        <v>17.350000000000001</v>
      </c>
      <c r="N146">
        <v>19.95</v>
      </c>
      <c r="O146">
        <v>10.32</v>
      </c>
      <c r="P146">
        <v>0.72</v>
      </c>
      <c r="Q146">
        <v>4.01</v>
      </c>
      <c r="R146" t="s">
        <v>9</v>
      </c>
      <c r="S146" t="s">
        <v>54</v>
      </c>
      <c r="T146" t="s">
        <v>148</v>
      </c>
      <c r="U146" t="s">
        <v>149</v>
      </c>
      <c r="V146" t="s">
        <v>149</v>
      </c>
      <c r="W146" t="s">
        <v>150</v>
      </c>
      <c r="X146">
        <v>87421</v>
      </c>
      <c r="Y146">
        <v>107476095001</v>
      </c>
      <c r="Z146" t="s">
        <v>492</v>
      </c>
    </row>
    <row r="147" spans="1:28" hidden="1" x14ac:dyDescent="0.25">
      <c r="A147">
        <v>191448</v>
      </c>
      <c r="B147" t="s">
        <v>488</v>
      </c>
      <c r="C147" s="21">
        <v>46190</v>
      </c>
      <c r="D147" t="s">
        <v>76</v>
      </c>
      <c r="E147" t="s">
        <v>77</v>
      </c>
      <c r="F147" t="s">
        <v>78</v>
      </c>
      <c r="G147" t="s">
        <v>78</v>
      </c>
      <c r="H147" t="s">
        <v>79</v>
      </c>
      <c r="I147" t="s">
        <v>79</v>
      </c>
      <c r="K147">
        <v>4</v>
      </c>
      <c r="L147">
        <v>0.01</v>
      </c>
      <c r="M147">
        <v>0.05</v>
      </c>
      <c r="N147">
        <v>0.05</v>
      </c>
      <c r="O147">
        <v>0.01</v>
      </c>
      <c r="P147">
        <v>0</v>
      </c>
      <c r="Q147">
        <v>0</v>
      </c>
      <c r="R147" t="s">
        <v>9</v>
      </c>
      <c r="S147" t="s">
        <v>54</v>
      </c>
      <c r="T147" t="s">
        <v>148</v>
      </c>
      <c r="U147" t="s">
        <v>149</v>
      </c>
      <c r="V147" t="s">
        <v>149</v>
      </c>
      <c r="W147" t="s">
        <v>150</v>
      </c>
      <c r="X147">
        <v>87421</v>
      </c>
      <c r="Y147">
        <v>107476095001</v>
      </c>
      <c r="Z147" t="s">
        <v>492</v>
      </c>
    </row>
    <row r="148" spans="1:28" x14ac:dyDescent="0.25">
      <c r="A148">
        <v>191457</v>
      </c>
      <c r="B148" t="s">
        <v>493</v>
      </c>
      <c r="C148" s="21">
        <v>46190</v>
      </c>
      <c r="D148" t="s">
        <v>76</v>
      </c>
      <c r="E148" t="s">
        <v>77</v>
      </c>
      <c r="F148" t="s">
        <v>78</v>
      </c>
      <c r="G148" t="s">
        <v>78</v>
      </c>
      <c r="H148" t="s">
        <v>79</v>
      </c>
      <c r="I148" t="s">
        <v>79</v>
      </c>
      <c r="K148">
        <v>1</v>
      </c>
      <c r="L148">
        <v>0.01</v>
      </c>
      <c r="M148">
        <v>0.01</v>
      </c>
      <c r="N148">
        <v>0.01</v>
      </c>
      <c r="O148">
        <v>0.01</v>
      </c>
      <c r="P148">
        <v>0</v>
      </c>
      <c r="Q148">
        <v>0</v>
      </c>
      <c r="R148" t="s">
        <v>9</v>
      </c>
      <c r="S148" t="s">
        <v>147</v>
      </c>
      <c r="T148" t="s">
        <v>148</v>
      </c>
      <c r="U148" t="s">
        <v>158</v>
      </c>
      <c r="V148" t="s">
        <v>158</v>
      </c>
      <c r="W148" t="s">
        <v>159</v>
      </c>
      <c r="X148" t="s">
        <v>303</v>
      </c>
      <c r="Y148">
        <v>9999999999001</v>
      </c>
      <c r="Z148" t="s">
        <v>304</v>
      </c>
      <c r="AB148" t="s">
        <v>61</v>
      </c>
    </row>
    <row r="149" spans="1:28" x14ac:dyDescent="0.25">
      <c r="A149">
        <v>191458</v>
      </c>
      <c r="B149" t="s">
        <v>493</v>
      </c>
      <c r="C149" s="21">
        <v>46190</v>
      </c>
      <c r="D149" t="s">
        <v>494</v>
      </c>
      <c r="E149" t="s">
        <v>495</v>
      </c>
      <c r="F149" t="s">
        <v>51</v>
      </c>
      <c r="G149" t="s">
        <v>51</v>
      </c>
      <c r="H149" t="s">
        <v>332</v>
      </c>
      <c r="I149" t="s">
        <v>332</v>
      </c>
      <c r="J149" t="s">
        <v>53</v>
      </c>
      <c r="K149">
        <v>1</v>
      </c>
      <c r="L149">
        <v>3.87</v>
      </c>
      <c r="M149">
        <v>3.87</v>
      </c>
      <c r="N149">
        <v>4.45</v>
      </c>
      <c r="O149">
        <v>2.52</v>
      </c>
      <c r="P149">
        <v>0</v>
      </c>
      <c r="Q149">
        <v>0</v>
      </c>
      <c r="R149" t="s">
        <v>9</v>
      </c>
      <c r="S149" t="s">
        <v>147</v>
      </c>
      <c r="T149" t="s">
        <v>148</v>
      </c>
      <c r="U149" t="s">
        <v>158</v>
      </c>
      <c r="V149" t="s">
        <v>158</v>
      </c>
      <c r="W149" t="s">
        <v>159</v>
      </c>
      <c r="X149" t="s">
        <v>303</v>
      </c>
      <c r="Y149">
        <v>9999999999001</v>
      </c>
      <c r="Z149" t="s">
        <v>304</v>
      </c>
      <c r="AB149" t="s">
        <v>61</v>
      </c>
    </row>
    <row r="150" spans="1:28" hidden="1" x14ac:dyDescent="0.25">
      <c r="A150">
        <v>191466</v>
      </c>
      <c r="B150" t="s">
        <v>496</v>
      </c>
      <c r="C150" s="21">
        <v>46190</v>
      </c>
      <c r="D150" t="s">
        <v>497</v>
      </c>
      <c r="E150" t="s">
        <v>498</v>
      </c>
      <c r="F150" t="s">
        <v>68</v>
      </c>
      <c r="G150" t="s">
        <v>68</v>
      </c>
      <c r="H150" t="s">
        <v>69</v>
      </c>
      <c r="I150" t="s">
        <v>70</v>
      </c>
      <c r="J150" t="s">
        <v>71</v>
      </c>
      <c r="K150">
        <v>1</v>
      </c>
      <c r="L150">
        <v>1.8</v>
      </c>
      <c r="M150">
        <v>1.8</v>
      </c>
      <c r="N150">
        <v>2.0699999999999998</v>
      </c>
      <c r="O150">
        <v>1.22</v>
      </c>
      <c r="P150">
        <v>0</v>
      </c>
      <c r="Q150">
        <v>0</v>
      </c>
      <c r="R150" t="s">
        <v>9</v>
      </c>
      <c r="S150" t="s">
        <v>54</v>
      </c>
      <c r="T150" t="s">
        <v>148</v>
      </c>
      <c r="U150" t="s">
        <v>149</v>
      </c>
      <c r="V150" t="s">
        <v>149</v>
      </c>
      <c r="W150" t="s">
        <v>150</v>
      </c>
      <c r="X150" t="s">
        <v>499</v>
      </c>
      <c r="Y150">
        <v>103351078</v>
      </c>
      <c r="Z150" t="s">
        <v>500</v>
      </c>
      <c r="AB150" t="s">
        <v>61</v>
      </c>
    </row>
    <row r="151" spans="1:28" hidden="1" x14ac:dyDescent="0.25">
      <c r="A151">
        <v>191467</v>
      </c>
      <c r="B151" t="s">
        <v>496</v>
      </c>
      <c r="C151" s="21">
        <v>46190</v>
      </c>
      <c r="D151" t="s">
        <v>501</v>
      </c>
      <c r="E151" t="s">
        <v>502</v>
      </c>
      <c r="F151" t="s">
        <v>230</v>
      </c>
      <c r="G151" t="s">
        <v>230</v>
      </c>
      <c r="H151" t="s">
        <v>69</v>
      </c>
      <c r="I151" t="s">
        <v>70</v>
      </c>
      <c r="J151" t="s">
        <v>71</v>
      </c>
      <c r="K151">
        <v>1</v>
      </c>
      <c r="L151">
        <v>5.39</v>
      </c>
      <c r="M151">
        <v>5.39</v>
      </c>
      <c r="N151">
        <v>6.2</v>
      </c>
      <c r="O151">
        <v>3.07</v>
      </c>
      <c r="P151">
        <v>0</v>
      </c>
      <c r="Q151">
        <v>0</v>
      </c>
      <c r="R151" t="s">
        <v>9</v>
      </c>
      <c r="S151" t="s">
        <v>54</v>
      </c>
      <c r="T151" t="s">
        <v>148</v>
      </c>
      <c r="U151" t="s">
        <v>149</v>
      </c>
      <c r="V151" t="s">
        <v>149</v>
      </c>
      <c r="W151" t="s">
        <v>150</v>
      </c>
      <c r="X151" t="s">
        <v>499</v>
      </c>
      <c r="Y151">
        <v>103351078</v>
      </c>
      <c r="Z151" t="s">
        <v>500</v>
      </c>
      <c r="AB151" t="s">
        <v>61</v>
      </c>
    </row>
    <row r="152" spans="1:28" hidden="1" x14ac:dyDescent="0.25">
      <c r="A152">
        <v>191468</v>
      </c>
      <c r="B152" t="s">
        <v>496</v>
      </c>
      <c r="C152" s="21">
        <v>46190</v>
      </c>
      <c r="D152" t="s">
        <v>503</v>
      </c>
      <c r="E152" t="s">
        <v>504</v>
      </c>
      <c r="F152" t="s">
        <v>68</v>
      </c>
      <c r="G152" t="s">
        <v>68</v>
      </c>
      <c r="H152" t="s">
        <v>197</v>
      </c>
      <c r="I152" t="s">
        <v>197</v>
      </c>
      <c r="J152" t="s">
        <v>83</v>
      </c>
      <c r="K152">
        <v>1</v>
      </c>
      <c r="L152">
        <v>3.16</v>
      </c>
      <c r="M152">
        <v>3.16</v>
      </c>
      <c r="N152">
        <v>3.63</v>
      </c>
      <c r="O152">
        <v>2.0299999999999998</v>
      </c>
      <c r="P152">
        <v>0</v>
      </c>
      <c r="Q152">
        <v>0</v>
      </c>
      <c r="R152" t="s">
        <v>9</v>
      </c>
      <c r="S152" t="s">
        <v>54</v>
      </c>
      <c r="T152" t="s">
        <v>148</v>
      </c>
      <c r="U152" t="s">
        <v>149</v>
      </c>
      <c r="V152" t="s">
        <v>149</v>
      </c>
      <c r="W152" t="s">
        <v>150</v>
      </c>
      <c r="X152" t="s">
        <v>499</v>
      </c>
      <c r="Y152">
        <v>103351078</v>
      </c>
      <c r="Z152" t="s">
        <v>500</v>
      </c>
      <c r="AB152" t="s">
        <v>61</v>
      </c>
    </row>
    <row r="153" spans="1:28" hidden="1" x14ac:dyDescent="0.25">
      <c r="A153">
        <v>191469</v>
      </c>
      <c r="B153" t="s">
        <v>496</v>
      </c>
      <c r="C153" s="21">
        <v>46190</v>
      </c>
      <c r="D153" t="s">
        <v>403</v>
      </c>
      <c r="E153" t="s">
        <v>404</v>
      </c>
      <c r="F153" t="s">
        <v>301</v>
      </c>
      <c r="G153" t="s">
        <v>301</v>
      </c>
      <c r="H153" t="s">
        <v>405</v>
      </c>
      <c r="I153" t="s">
        <v>405</v>
      </c>
      <c r="J153" t="s">
        <v>83</v>
      </c>
      <c r="K153">
        <v>2</v>
      </c>
      <c r="L153">
        <v>7.08</v>
      </c>
      <c r="M153">
        <v>14.15</v>
      </c>
      <c r="N153">
        <v>16.28</v>
      </c>
      <c r="O153">
        <v>5.37</v>
      </c>
      <c r="P153">
        <v>0</v>
      </c>
      <c r="Q153">
        <v>0</v>
      </c>
      <c r="R153" t="s">
        <v>9</v>
      </c>
      <c r="S153" t="s">
        <v>54</v>
      </c>
      <c r="T153" t="s">
        <v>148</v>
      </c>
      <c r="U153" t="s">
        <v>149</v>
      </c>
      <c r="V153" t="s">
        <v>149</v>
      </c>
      <c r="W153" t="s">
        <v>150</v>
      </c>
      <c r="X153" t="s">
        <v>499</v>
      </c>
      <c r="Y153">
        <v>103351078</v>
      </c>
      <c r="Z153" t="s">
        <v>500</v>
      </c>
      <c r="AB153" t="s">
        <v>61</v>
      </c>
    </row>
    <row r="154" spans="1:28" x14ac:dyDescent="0.25">
      <c r="A154">
        <v>191504</v>
      </c>
      <c r="B154" t="s">
        <v>505</v>
      </c>
      <c r="C154" s="21">
        <v>46190</v>
      </c>
      <c r="D154" t="s">
        <v>76</v>
      </c>
      <c r="E154" t="s">
        <v>77</v>
      </c>
      <c r="F154" t="s">
        <v>78</v>
      </c>
      <c r="G154" t="s">
        <v>78</v>
      </c>
      <c r="H154" t="s">
        <v>79</v>
      </c>
      <c r="I154" t="s">
        <v>79</v>
      </c>
      <c r="K154">
        <v>20</v>
      </c>
      <c r="L154">
        <v>0.01</v>
      </c>
      <c r="M154">
        <v>0.23</v>
      </c>
      <c r="N154">
        <v>0.27</v>
      </c>
      <c r="O154">
        <v>0.01</v>
      </c>
      <c r="P154">
        <v>0</v>
      </c>
      <c r="Q154">
        <v>0</v>
      </c>
      <c r="R154" t="s">
        <v>9</v>
      </c>
      <c r="S154" t="s">
        <v>54</v>
      </c>
      <c r="T154" t="s">
        <v>148</v>
      </c>
      <c r="U154" t="s">
        <v>158</v>
      </c>
      <c r="V154" t="s">
        <v>158</v>
      </c>
      <c r="W154" t="s">
        <v>159</v>
      </c>
      <c r="X154" t="s">
        <v>506</v>
      </c>
      <c r="Y154">
        <v>102928363</v>
      </c>
      <c r="Z154" t="s">
        <v>507</v>
      </c>
      <c r="AB154" t="s">
        <v>61</v>
      </c>
    </row>
    <row r="155" spans="1:28" x14ac:dyDescent="0.25">
      <c r="A155">
        <v>191505</v>
      </c>
      <c r="B155" t="s">
        <v>505</v>
      </c>
      <c r="C155" s="21">
        <v>46190</v>
      </c>
      <c r="D155" t="s">
        <v>239</v>
      </c>
      <c r="E155" t="s">
        <v>240</v>
      </c>
      <c r="F155" t="s">
        <v>51</v>
      </c>
      <c r="G155" t="s">
        <v>51</v>
      </c>
      <c r="H155" t="s">
        <v>82</v>
      </c>
      <c r="I155" t="s">
        <v>82</v>
      </c>
      <c r="J155" t="s">
        <v>83</v>
      </c>
      <c r="K155">
        <v>1</v>
      </c>
      <c r="L155">
        <v>28.27</v>
      </c>
      <c r="M155">
        <v>28.27</v>
      </c>
      <c r="N155">
        <v>32.5</v>
      </c>
      <c r="O155">
        <v>20.87</v>
      </c>
      <c r="P155">
        <v>0</v>
      </c>
      <c r="Q155">
        <v>0</v>
      </c>
      <c r="R155" t="s">
        <v>9</v>
      </c>
      <c r="S155" t="s">
        <v>54</v>
      </c>
      <c r="T155" t="s">
        <v>148</v>
      </c>
      <c r="U155" t="s">
        <v>158</v>
      </c>
      <c r="V155" t="s">
        <v>158</v>
      </c>
      <c r="W155" t="s">
        <v>159</v>
      </c>
      <c r="X155" t="s">
        <v>506</v>
      </c>
      <c r="Y155">
        <v>102928363</v>
      </c>
      <c r="Z155" t="s">
        <v>507</v>
      </c>
      <c r="AB155" t="s">
        <v>61</v>
      </c>
    </row>
    <row r="156" spans="1:28" hidden="1" x14ac:dyDescent="0.25">
      <c r="A156">
        <v>191535</v>
      </c>
      <c r="B156" t="s">
        <v>508</v>
      </c>
      <c r="C156" s="21">
        <v>46190</v>
      </c>
      <c r="D156" t="s">
        <v>76</v>
      </c>
      <c r="E156" t="s">
        <v>77</v>
      </c>
      <c r="F156" t="s">
        <v>78</v>
      </c>
      <c r="G156" t="s">
        <v>78</v>
      </c>
      <c r="H156" t="s">
        <v>79</v>
      </c>
      <c r="I156" t="s">
        <v>79</v>
      </c>
      <c r="K156">
        <v>20</v>
      </c>
      <c r="L156">
        <v>0.01</v>
      </c>
      <c r="M156">
        <v>0.23</v>
      </c>
      <c r="N156">
        <v>0.27</v>
      </c>
      <c r="O156">
        <v>0.01</v>
      </c>
      <c r="P156">
        <v>0</v>
      </c>
      <c r="Q156">
        <v>0</v>
      </c>
      <c r="R156" t="s">
        <v>9</v>
      </c>
      <c r="S156" t="s">
        <v>54</v>
      </c>
      <c r="T156" t="s">
        <v>55</v>
      </c>
      <c r="U156" t="s">
        <v>149</v>
      </c>
      <c r="V156" t="s">
        <v>149</v>
      </c>
      <c r="W156" t="s">
        <v>150</v>
      </c>
      <c r="X156" t="s">
        <v>509</v>
      </c>
      <c r="Y156">
        <v>150332369001</v>
      </c>
      <c r="Z156" t="s">
        <v>510</v>
      </c>
      <c r="AA156" t="s">
        <v>60</v>
      </c>
      <c r="AB156" t="s">
        <v>61</v>
      </c>
    </row>
    <row r="157" spans="1:28" hidden="1" x14ac:dyDescent="0.25">
      <c r="A157">
        <v>191536</v>
      </c>
      <c r="B157" t="s">
        <v>508</v>
      </c>
      <c r="C157" s="21">
        <v>46190</v>
      </c>
      <c r="D157" t="s">
        <v>239</v>
      </c>
      <c r="E157" t="s">
        <v>240</v>
      </c>
      <c r="F157" t="s">
        <v>51</v>
      </c>
      <c r="G157" t="s">
        <v>51</v>
      </c>
      <c r="H157" t="s">
        <v>82</v>
      </c>
      <c r="I157" t="s">
        <v>82</v>
      </c>
      <c r="J157" t="s">
        <v>83</v>
      </c>
      <c r="K157">
        <v>1</v>
      </c>
      <c r="L157">
        <v>28.27</v>
      </c>
      <c r="M157">
        <v>28.27</v>
      </c>
      <c r="N157">
        <v>32.5</v>
      </c>
      <c r="O157">
        <v>20.87</v>
      </c>
      <c r="P157">
        <v>0</v>
      </c>
      <c r="Q157">
        <v>0</v>
      </c>
      <c r="R157" t="s">
        <v>9</v>
      </c>
      <c r="S157" t="s">
        <v>54</v>
      </c>
      <c r="T157" t="s">
        <v>55</v>
      </c>
      <c r="U157" t="s">
        <v>149</v>
      </c>
      <c r="V157" t="s">
        <v>149</v>
      </c>
      <c r="W157" t="s">
        <v>150</v>
      </c>
      <c r="X157" t="s">
        <v>509</v>
      </c>
      <c r="Y157">
        <v>150332369001</v>
      </c>
      <c r="Z157" t="s">
        <v>510</v>
      </c>
      <c r="AA157" t="s">
        <v>60</v>
      </c>
      <c r="AB157" t="s">
        <v>61</v>
      </c>
    </row>
    <row r="158" spans="1:28" hidden="1" x14ac:dyDescent="0.25">
      <c r="A158">
        <v>191537</v>
      </c>
      <c r="B158" t="s">
        <v>511</v>
      </c>
      <c r="C158" s="21">
        <v>46190</v>
      </c>
      <c r="D158" t="s">
        <v>512</v>
      </c>
      <c r="E158" t="s">
        <v>513</v>
      </c>
      <c r="F158" t="s">
        <v>89</v>
      </c>
      <c r="G158" t="s">
        <v>89</v>
      </c>
      <c r="H158" t="s">
        <v>95</v>
      </c>
      <c r="I158" t="s">
        <v>95</v>
      </c>
      <c r="J158" t="s">
        <v>71</v>
      </c>
      <c r="K158">
        <v>2</v>
      </c>
      <c r="L158">
        <v>1.82</v>
      </c>
      <c r="M158">
        <v>3.64</v>
      </c>
      <c r="N158">
        <v>4.1900000000000004</v>
      </c>
      <c r="O158">
        <v>1.1200000000000001</v>
      </c>
      <c r="P158">
        <v>0</v>
      </c>
      <c r="Q158">
        <v>0</v>
      </c>
      <c r="R158" t="s">
        <v>9</v>
      </c>
      <c r="S158" t="s">
        <v>54</v>
      </c>
      <c r="T158" t="s">
        <v>55</v>
      </c>
      <c r="U158" t="s">
        <v>149</v>
      </c>
      <c r="V158" t="s">
        <v>149</v>
      </c>
      <c r="W158" t="s">
        <v>150</v>
      </c>
      <c r="X158" t="s">
        <v>509</v>
      </c>
      <c r="Y158">
        <v>150332369001</v>
      </c>
      <c r="Z158" t="s">
        <v>510</v>
      </c>
      <c r="AA158" t="s">
        <v>60</v>
      </c>
      <c r="AB158" t="s">
        <v>61</v>
      </c>
    </row>
    <row r="159" spans="1:28" x14ac:dyDescent="0.25">
      <c r="A159">
        <v>191541</v>
      </c>
      <c r="B159" t="s">
        <v>514</v>
      </c>
      <c r="C159" s="21">
        <v>46190</v>
      </c>
      <c r="D159" t="s">
        <v>489</v>
      </c>
      <c r="E159" t="s">
        <v>490</v>
      </c>
      <c r="F159" t="s">
        <v>51</v>
      </c>
      <c r="G159" t="s">
        <v>51</v>
      </c>
      <c r="H159" t="s">
        <v>491</v>
      </c>
      <c r="I159" t="s">
        <v>491</v>
      </c>
      <c r="J159" t="s">
        <v>83</v>
      </c>
      <c r="K159">
        <v>3</v>
      </c>
      <c r="L159">
        <v>18.07</v>
      </c>
      <c r="M159">
        <v>48.8</v>
      </c>
      <c r="N159">
        <v>56.11</v>
      </c>
      <c r="O159">
        <v>10.32</v>
      </c>
      <c r="P159">
        <v>5.42</v>
      </c>
      <c r="Q159">
        <v>10</v>
      </c>
      <c r="R159" t="s">
        <v>9</v>
      </c>
      <c r="S159" t="s">
        <v>54</v>
      </c>
      <c r="T159" t="s">
        <v>148</v>
      </c>
      <c r="U159" t="s">
        <v>158</v>
      </c>
      <c r="V159" t="s">
        <v>158</v>
      </c>
      <c r="W159" t="s">
        <v>159</v>
      </c>
      <c r="X159" t="s">
        <v>515</v>
      </c>
      <c r="Y159">
        <v>107252421001</v>
      </c>
      <c r="Z159" t="s">
        <v>516</v>
      </c>
    </row>
    <row r="160" spans="1:28" x14ac:dyDescent="0.25">
      <c r="A160">
        <v>191542</v>
      </c>
      <c r="B160" t="s">
        <v>514</v>
      </c>
      <c r="C160" s="21">
        <v>46190</v>
      </c>
      <c r="D160" t="s">
        <v>517</v>
      </c>
      <c r="E160" t="s">
        <v>518</v>
      </c>
      <c r="F160" t="s">
        <v>51</v>
      </c>
      <c r="G160" t="s">
        <v>51</v>
      </c>
      <c r="H160" t="s">
        <v>491</v>
      </c>
      <c r="I160" t="s">
        <v>491</v>
      </c>
      <c r="J160" t="s">
        <v>83</v>
      </c>
      <c r="K160">
        <v>3</v>
      </c>
      <c r="L160">
        <v>18.86</v>
      </c>
      <c r="M160">
        <v>50.93</v>
      </c>
      <c r="N160">
        <v>58.57</v>
      </c>
      <c r="O160">
        <v>10.32</v>
      </c>
      <c r="P160">
        <v>5.66</v>
      </c>
      <c r="Q160">
        <v>10</v>
      </c>
      <c r="R160" t="s">
        <v>9</v>
      </c>
      <c r="S160" t="s">
        <v>54</v>
      </c>
      <c r="T160" t="s">
        <v>148</v>
      </c>
      <c r="U160" t="s">
        <v>158</v>
      </c>
      <c r="V160" t="s">
        <v>158</v>
      </c>
      <c r="W160" t="s">
        <v>159</v>
      </c>
      <c r="X160" t="s">
        <v>515</v>
      </c>
      <c r="Y160">
        <v>107252421001</v>
      </c>
      <c r="Z160" t="s">
        <v>516</v>
      </c>
    </row>
    <row r="161" spans="1:28" x14ac:dyDescent="0.25">
      <c r="A161">
        <v>191543</v>
      </c>
      <c r="B161" t="s">
        <v>514</v>
      </c>
      <c r="C161" s="21">
        <v>46190</v>
      </c>
      <c r="D161" t="s">
        <v>66</v>
      </c>
      <c r="E161" t="s">
        <v>67</v>
      </c>
      <c r="F161" t="s">
        <v>68</v>
      </c>
      <c r="G161" t="s">
        <v>68</v>
      </c>
      <c r="H161" t="s">
        <v>69</v>
      </c>
      <c r="I161" t="s">
        <v>70</v>
      </c>
      <c r="J161" t="s">
        <v>71</v>
      </c>
      <c r="K161">
        <v>4</v>
      </c>
      <c r="L161">
        <v>1.4</v>
      </c>
      <c r="M161">
        <v>0</v>
      </c>
      <c r="N161">
        <v>0</v>
      </c>
      <c r="O161">
        <v>0.92</v>
      </c>
      <c r="P161">
        <v>5.6</v>
      </c>
      <c r="Q161">
        <v>100</v>
      </c>
      <c r="R161" t="s">
        <v>9</v>
      </c>
      <c r="S161" t="s">
        <v>54</v>
      </c>
      <c r="T161" t="s">
        <v>148</v>
      </c>
      <c r="U161" t="s">
        <v>158</v>
      </c>
      <c r="V161" t="s">
        <v>158</v>
      </c>
      <c r="W161" t="s">
        <v>159</v>
      </c>
      <c r="X161" t="s">
        <v>515</v>
      </c>
      <c r="Y161">
        <v>107252421001</v>
      </c>
      <c r="Z161" t="s">
        <v>516</v>
      </c>
    </row>
    <row r="162" spans="1:28" x14ac:dyDescent="0.25">
      <c r="A162">
        <v>191544</v>
      </c>
      <c r="B162" t="s">
        <v>514</v>
      </c>
      <c r="C162" s="21">
        <v>46190</v>
      </c>
      <c r="D162" t="s">
        <v>74</v>
      </c>
      <c r="E162" t="s">
        <v>75</v>
      </c>
      <c r="F162" t="s">
        <v>68</v>
      </c>
      <c r="G162" t="s">
        <v>68</v>
      </c>
      <c r="H162" t="s">
        <v>69</v>
      </c>
      <c r="I162" t="s">
        <v>70</v>
      </c>
      <c r="J162" t="s">
        <v>71</v>
      </c>
      <c r="K162">
        <v>2</v>
      </c>
      <c r="L162">
        <v>1.4</v>
      </c>
      <c r="M162">
        <v>0</v>
      </c>
      <c r="N162">
        <v>0</v>
      </c>
      <c r="O162">
        <v>0.92</v>
      </c>
      <c r="P162">
        <v>2.8</v>
      </c>
      <c r="Q162">
        <v>100</v>
      </c>
      <c r="R162" t="s">
        <v>9</v>
      </c>
      <c r="S162" t="s">
        <v>54</v>
      </c>
      <c r="T162" t="s">
        <v>148</v>
      </c>
      <c r="U162" t="s">
        <v>158</v>
      </c>
      <c r="V162" t="s">
        <v>158</v>
      </c>
      <c r="W162" t="s">
        <v>159</v>
      </c>
      <c r="X162" t="s">
        <v>515</v>
      </c>
      <c r="Y162">
        <v>107252421001</v>
      </c>
      <c r="Z162" t="s">
        <v>516</v>
      </c>
    </row>
    <row r="163" spans="1:28" x14ac:dyDescent="0.25">
      <c r="A163">
        <v>191545</v>
      </c>
      <c r="B163" t="s">
        <v>514</v>
      </c>
      <c r="C163" s="21">
        <v>46190</v>
      </c>
      <c r="D163" t="s">
        <v>76</v>
      </c>
      <c r="E163" t="s">
        <v>77</v>
      </c>
      <c r="F163" t="s">
        <v>78</v>
      </c>
      <c r="G163" t="s">
        <v>78</v>
      </c>
      <c r="H163" t="s">
        <v>79</v>
      </c>
      <c r="I163" t="s">
        <v>79</v>
      </c>
      <c r="K163">
        <v>24</v>
      </c>
      <c r="L163">
        <v>0.01</v>
      </c>
      <c r="M163">
        <v>0.28000000000000003</v>
      </c>
      <c r="N163">
        <v>0.32</v>
      </c>
      <c r="O163">
        <v>0.01</v>
      </c>
      <c r="P163">
        <v>0</v>
      </c>
      <c r="Q163">
        <v>0</v>
      </c>
      <c r="R163" t="s">
        <v>9</v>
      </c>
      <c r="S163" t="s">
        <v>54</v>
      </c>
      <c r="T163" t="s">
        <v>148</v>
      </c>
      <c r="U163" t="s">
        <v>158</v>
      </c>
      <c r="V163" t="s">
        <v>158</v>
      </c>
      <c r="W163" t="s">
        <v>159</v>
      </c>
      <c r="X163" t="s">
        <v>515</v>
      </c>
      <c r="Y163">
        <v>107252421001</v>
      </c>
      <c r="Z163" t="s">
        <v>516</v>
      </c>
    </row>
    <row r="164" spans="1:28" x14ac:dyDescent="0.25">
      <c r="A164">
        <v>191582</v>
      </c>
      <c r="B164" t="s">
        <v>519</v>
      </c>
      <c r="C164" s="21">
        <v>46190</v>
      </c>
      <c r="D164" t="s">
        <v>520</v>
      </c>
      <c r="E164" t="s">
        <v>521</v>
      </c>
      <c r="F164" t="s">
        <v>78</v>
      </c>
      <c r="G164" t="s">
        <v>78</v>
      </c>
      <c r="H164" t="s">
        <v>129</v>
      </c>
      <c r="I164" t="s">
        <v>129</v>
      </c>
      <c r="J164" t="s">
        <v>53</v>
      </c>
      <c r="K164">
        <v>1</v>
      </c>
      <c r="L164">
        <v>0.77</v>
      </c>
      <c r="M164">
        <v>0.77</v>
      </c>
      <c r="N164">
        <v>0.89</v>
      </c>
      <c r="O164">
        <v>0.38</v>
      </c>
      <c r="P164">
        <v>0</v>
      </c>
      <c r="Q164">
        <v>0</v>
      </c>
      <c r="R164" t="s">
        <v>9</v>
      </c>
      <c r="S164" t="s">
        <v>54</v>
      </c>
      <c r="T164" t="s">
        <v>55</v>
      </c>
      <c r="U164" t="s">
        <v>158</v>
      </c>
      <c r="V164" t="s">
        <v>158</v>
      </c>
      <c r="W164" t="s">
        <v>159</v>
      </c>
      <c r="X164" t="s">
        <v>221</v>
      </c>
      <c r="Y164">
        <v>190490777001</v>
      </c>
      <c r="Z164" t="s">
        <v>222</v>
      </c>
      <c r="AB164" t="s">
        <v>61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A8F43-A84C-48DE-B3E9-F03F52CA521F}">
  <dimension ref="A1:AB44"/>
  <sheetViews>
    <sheetView tabSelected="1" workbookViewId="0">
      <selection activeCell="B5" sqref="B4:B5"/>
    </sheetView>
  </sheetViews>
  <sheetFormatPr baseColWidth="10" defaultRowHeight="15" x14ac:dyDescent="0.25"/>
  <cols>
    <col min="2" max="2" width="14.28515625" customWidth="1"/>
    <col min="4" max="4" width="15.7109375" customWidth="1"/>
    <col min="5" max="5" width="16.85546875" customWidth="1"/>
    <col min="6" max="6" width="23.5703125" customWidth="1"/>
    <col min="7" max="7" width="23.7109375" customWidth="1"/>
    <col min="8" max="8" width="15.85546875" customWidth="1"/>
    <col min="9" max="9" width="22.42578125" customWidth="1"/>
    <col min="10" max="10" width="18.5703125" customWidth="1"/>
    <col min="14" max="14" width="16.140625" customWidth="1"/>
    <col min="15" max="15" width="17.28515625" customWidth="1"/>
    <col min="16" max="16" width="13.28515625" customWidth="1"/>
    <col min="17" max="17" width="16.140625" customWidth="1"/>
    <col min="18" max="18" width="20.140625" customWidth="1"/>
    <col min="19" max="19" width="18.140625" customWidth="1"/>
    <col min="20" max="20" width="22.42578125" customWidth="1"/>
    <col min="21" max="21" width="21.85546875" customWidth="1"/>
    <col min="22" max="22" width="23" customWidth="1"/>
    <col min="23" max="23" width="18.5703125" customWidth="1"/>
    <col min="25" max="25" width="23.7109375" customWidth="1"/>
    <col min="26" max="26" width="24.85546875" customWidth="1"/>
    <col min="27" max="27" width="24.42578125" customWidth="1"/>
    <col min="28" max="28" width="21.28515625" customWidth="1"/>
  </cols>
  <sheetData>
    <row r="1" spans="1:28" x14ac:dyDescent="0.25">
      <c r="A1" t="s">
        <v>19</v>
      </c>
      <c r="B1" t="s">
        <v>522</v>
      </c>
      <c r="C1" t="s">
        <v>523</v>
      </c>
      <c r="D1" t="s">
        <v>524</v>
      </c>
      <c r="E1" t="s">
        <v>525</v>
      </c>
      <c r="F1" t="s">
        <v>526</v>
      </c>
      <c r="G1" t="s">
        <v>527</v>
      </c>
      <c r="H1" t="s">
        <v>528</v>
      </c>
      <c r="I1" t="s">
        <v>529</v>
      </c>
      <c r="J1" t="s">
        <v>530</v>
      </c>
      <c r="K1" t="s">
        <v>531</v>
      </c>
      <c r="L1" t="s">
        <v>532</v>
      </c>
      <c r="M1" t="s">
        <v>533</v>
      </c>
      <c r="N1" t="s">
        <v>42</v>
      </c>
      <c r="O1" t="s">
        <v>534</v>
      </c>
      <c r="P1" t="s">
        <v>535</v>
      </c>
      <c r="Q1" t="s">
        <v>536</v>
      </c>
      <c r="R1" t="s">
        <v>537</v>
      </c>
      <c r="S1" t="s">
        <v>538</v>
      </c>
      <c r="T1" t="s">
        <v>539</v>
      </c>
      <c r="U1" t="s">
        <v>540</v>
      </c>
      <c r="V1" t="s">
        <v>541</v>
      </c>
      <c r="W1" t="s">
        <v>542</v>
      </c>
      <c r="X1" t="s">
        <v>543</v>
      </c>
      <c r="Y1" t="s">
        <v>544</v>
      </c>
      <c r="Z1" t="s">
        <v>545</v>
      </c>
      <c r="AA1" t="s">
        <v>546</v>
      </c>
      <c r="AB1" t="s">
        <v>547</v>
      </c>
    </row>
    <row r="2" spans="1:28" x14ac:dyDescent="0.25">
      <c r="A2">
        <v>32714</v>
      </c>
      <c r="B2" t="s">
        <v>571</v>
      </c>
      <c r="C2" t="s">
        <v>514</v>
      </c>
      <c r="D2">
        <v>115.01</v>
      </c>
      <c r="E2" s="21">
        <v>46190</v>
      </c>
      <c r="F2" s="21">
        <v>46190</v>
      </c>
      <c r="G2" s="21">
        <v>46190</v>
      </c>
      <c r="J2">
        <v>55214178</v>
      </c>
      <c r="M2">
        <v>0</v>
      </c>
      <c r="N2" t="s">
        <v>515</v>
      </c>
      <c r="O2" t="s">
        <v>516</v>
      </c>
      <c r="P2" t="s">
        <v>514</v>
      </c>
      <c r="Q2" s="21">
        <v>46190</v>
      </c>
      <c r="R2" s="21">
        <v>46190</v>
      </c>
      <c r="S2">
        <v>0</v>
      </c>
      <c r="T2">
        <v>0</v>
      </c>
      <c r="U2" t="s">
        <v>158</v>
      </c>
      <c r="V2" t="s">
        <v>159</v>
      </c>
      <c r="W2" t="s">
        <v>572</v>
      </c>
      <c r="X2" t="s">
        <v>553</v>
      </c>
      <c r="Y2" t="s">
        <v>158</v>
      </c>
      <c r="Z2" t="s">
        <v>159</v>
      </c>
      <c r="AA2">
        <v>100.00620000000001</v>
      </c>
      <c r="AB2">
        <v>115.01</v>
      </c>
    </row>
    <row r="3" spans="1:28" x14ac:dyDescent="0.25">
      <c r="A3">
        <v>32775</v>
      </c>
      <c r="B3" t="s">
        <v>548</v>
      </c>
      <c r="C3" t="s">
        <v>143</v>
      </c>
      <c r="D3">
        <v>12.12</v>
      </c>
      <c r="E3" s="21">
        <v>46190</v>
      </c>
      <c r="F3" s="21">
        <v>46190</v>
      </c>
      <c r="G3" s="21">
        <v>46190</v>
      </c>
      <c r="M3">
        <v>0</v>
      </c>
      <c r="N3" t="s">
        <v>151</v>
      </c>
      <c r="O3" t="s">
        <v>152</v>
      </c>
      <c r="P3" t="s">
        <v>143</v>
      </c>
      <c r="Q3" s="21">
        <v>46190</v>
      </c>
      <c r="R3" s="21">
        <v>46190</v>
      </c>
      <c r="S3">
        <v>0</v>
      </c>
      <c r="T3">
        <v>0</v>
      </c>
      <c r="U3" t="s">
        <v>149</v>
      </c>
      <c r="V3" t="s">
        <v>150</v>
      </c>
      <c r="X3" t="s">
        <v>549</v>
      </c>
      <c r="Y3" t="s">
        <v>149</v>
      </c>
      <c r="Z3" t="s">
        <v>150</v>
      </c>
      <c r="AA3">
        <v>10.5366</v>
      </c>
      <c r="AB3">
        <v>12.12</v>
      </c>
    </row>
    <row r="4" spans="1:28" x14ac:dyDescent="0.25">
      <c r="A4">
        <v>32779</v>
      </c>
      <c r="B4" t="s">
        <v>573</v>
      </c>
      <c r="C4" t="s">
        <v>155</v>
      </c>
      <c r="D4">
        <v>5.97</v>
      </c>
      <c r="E4" s="21">
        <v>46190</v>
      </c>
      <c r="F4" s="21">
        <v>46190</v>
      </c>
      <c r="G4" s="21">
        <v>46190</v>
      </c>
      <c r="M4">
        <v>0</v>
      </c>
      <c r="N4" t="s">
        <v>160</v>
      </c>
      <c r="O4" t="s">
        <v>161</v>
      </c>
      <c r="P4" t="s">
        <v>155</v>
      </c>
      <c r="Q4" s="21">
        <v>46190</v>
      </c>
      <c r="R4" s="21">
        <v>46190</v>
      </c>
      <c r="S4">
        <v>0</v>
      </c>
      <c r="T4">
        <v>0</v>
      </c>
      <c r="U4" t="s">
        <v>158</v>
      </c>
      <c r="V4" t="s">
        <v>159</v>
      </c>
      <c r="X4" t="s">
        <v>549</v>
      </c>
      <c r="Y4" t="s">
        <v>158</v>
      </c>
      <c r="Z4" t="s">
        <v>159</v>
      </c>
      <c r="AA4">
        <v>5.19</v>
      </c>
      <c r="AB4">
        <v>5.97</v>
      </c>
    </row>
    <row r="5" spans="1:28" x14ac:dyDescent="0.25">
      <c r="A5">
        <v>32785</v>
      </c>
      <c r="B5" t="s">
        <v>550</v>
      </c>
      <c r="C5" t="s">
        <v>168</v>
      </c>
      <c r="D5">
        <v>18.350000000000001</v>
      </c>
      <c r="E5" s="21">
        <v>46190</v>
      </c>
      <c r="F5" s="21">
        <v>46190</v>
      </c>
      <c r="G5" s="21">
        <v>46190</v>
      </c>
      <c r="M5">
        <v>0</v>
      </c>
      <c r="N5" t="s">
        <v>173</v>
      </c>
      <c r="O5" t="s">
        <v>174</v>
      </c>
      <c r="P5" t="s">
        <v>168</v>
      </c>
      <c r="Q5" s="21">
        <v>46190</v>
      </c>
      <c r="R5" s="21">
        <v>46190</v>
      </c>
      <c r="S5">
        <v>0</v>
      </c>
      <c r="T5">
        <v>0</v>
      </c>
      <c r="U5" t="s">
        <v>149</v>
      </c>
      <c r="V5" t="s">
        <v>150</v>
      </c>
      <c r="X5" t="s">
        <v>549</v>
      </c>
      <c r="Y5" t="s">
        <v>149</v>
      </c>
      <c r="Z5" t="s">
        <v>150</v>
      </c>
      <c r="AA5">
        <v>15.96</v>
      </c>
      <c r="AB5">
        <v>18.350000000000001</v>
      </c>
    </row>
    <row r="6" spans="1:28" x14ac:dyDescent="0.25">
      <c r="A6">
        <v>32786</v>
      </c>
      <c r="B6" t="s">
        <v>574</v>
      </c>
      <c r="C6" t="s">
        <v>177</v>
      </c>
      <c r="D6">
        <v>44.65</v>
      </c>
      <c r="E6" s="21">
        <v>46190</v>
      </c>
      <c r="F6" s="21">
        <v>46190</v>
      </c>
      <c r="G6" s="21">
        <v>46190</v>
      </c>
      <c r="J6">
        <v>463863003</v>
      </c>
      <c r="M6">
        <v>0</v>
      </c>
      <c r="N6" t="s">
        <v>180</v>
      </c>
      <c r="O6" t="s">
        <v>181</v>
      </c>
      <c r="P6" t="s">
        <v>177</v>
      </c>
      <c r="Q6" s="21">
        <v>46190</v>
      </c>
      <c r="R6" s="21">
        <v>46190</v>
      </c>
      <c r="S6">
        <v>0</v>
      </c>
      <c r="T6">
        <v>0</v>
      </c>
      <c r="U6" t="s">
        <v>158</v>
      </c>
      <c r="V6" t="s">
        <v>159</v>
      </c>
      <c r="W6" t="s">
        <v>575</v>
      </c>
      <c r="X6" t="s">
        <v>553</v>
      </c>
      <c r="Y6" t="s">
        <v>158</v>
      </c>
      <c r="Z6" t="s">
        <v>159</v>
      </c>
      <c r="AA6">
        <v>38.830399999999997</v>
      </c>
      <c r="AB6">
        <v>44.65</v>
      </c>
    </row>
    <row r="7" spans="1:28" x14ac:dyDescent="0.25">
      <c r="A7">
        <v>32789</v>
      </c>
      <c r="B7" t="s">
        <v>576</v>
      </c>
      <c r="C7" t="s">
        <v>194</v>
      </c>
      <c r="D7">
        <v>5.24</v>
      </c>
      <c r="E7" s="21">
        <v>46190</v>
      </c>
      <c r="F7" s="21">
        <v>46190</v>
      </c>
      <c r="G7" s="21">
        <v>46190</v>
      </c>
      <c r="M7">
        <v>0</v>
      </c>
      <c r="N7" t="s">
        <v>198</v>
      </c>
      <c r="O7" t="s">
        <v>199</v>
      </c>
      <c r="P7" t="s">
        <v>194</v>
      </c>
      <c r="Q7" s="21">
        <v>46190</v>
      </c>
      <c r="R7" s="21">
        <v>46190</v>
      </c>
      <c r="S7">
        <v>0</v>
      </c>
      <c r="T7">
        <v>0</v>
      </c>
      <c r="U7" t="s">
        <v>158</v>
      </c>
      <c r="V7" t="s">
        <v>159</v>
      </c>
      <c r="X7" t="s">
        <v>549</v>
      </c>
      <c r="Y7" t="s">
        <v>158</v>
      </c>
      <c r="Z7" t="s">
        <v>159</v>
      </c>
      <c r="AA7">
        <v>4.5599999999999996</v>
      </c>
      <c r="AB7">
        <v>5.24</v>
      </c>
    </row>
    <row r="8" spans="1:28" x14ac:dyDescent="0.25">
      <c r="A8">
        <v>32834</v>
      </c>
      <c r="B8" t="s">
        <v>551</v>
      </c>
      <c r="C8" t="s">
        <v>236</v>
      </c>
      <c r="D8">
        <v>131.09</v>
      </c>
      <c r="E8" s="21">
        <v>46190</v>
      </c>
      <c r="F8" s="21">
        <v>46190</v>
      </c>
      <c r="G8" s="21">
        <v>46190</v>
      </c>
      <c r="J8">
        <v>15226380</v>
      </c>
      <c r="M8">
        <v>0</v>
      </c>
      <c r="N8" t="s">
        <v>237</v>
      </c>
      <c r="O8" t="s">
        <v>238</v>
      </c>
      <c r="P8" t="s">
        <v>236</v>
      </c>
      <c r="Q8" s="21">
        <v>46190</v>
      </c>
      <c r="R8" s="21">
        <v>46190</v>
      </c>
      <c r="S8">
        <v>0</v>
      </c>
      <c r="T8">
        <v>0</v>
      </c>
      <c r="U8" t="s">
        <v>149</v>
      </c>
      <c r="V8" t="s">
        <v>150</v>
      </c>
      <c r="W8" t="s">
        <v>552</v>
      </c>
      <c r="X8" t="s">
        <v>553</v>
      </c>
      <c r="Y8" t="s">
        <v>149</v>
      </c>
      <c r="Z8" t="s">
        <v>150</v>
      </c>
      <c r="AA8">
        <v>113.988</v>
      </c>
      <c r="AB8">
        <v>131.09</v>
      </c>
    </row>
    <row r="9" spans="1:28" x14ac:dyDescent="0.25">
      <c r="A9">
        <v>32836</v>
      </c>
      <c r="B9" t="s">
        <v>554</v>
      </c>
      <c r="C9" t="s">
        <v>241</v>
      </c>
      <c r="D9">
        <v>7.38</v>
      </c>
      <c r="E9" s="21">
        <v>46190</v>
      </c>
      <c r="F9" s="21">
        <v>46190</v>
      </c>
      <c r="G9" s="21">
        <v>46190</v>
      </c>
      <c r="M9">
        <v>0</v>
      </c>
      <c r="N9" t="s">
        <v>245</v>
      </c>
      <c r="O9" t="s">
        <v>555</v>
      </c>
      <c r="P9" t="s">
        <v>241</v>
      </c>
      <c r="Q9" s="21">
        <v>46190</v>
      </c>
      <c r="R9" s="21">
        <v>46190</v>
      </c>
      <c r="S9">
        <v>0</v>
      </c>
      <c r="T9">
        <v>0</v>
      </c>
      <c r="U9" t="s">
        <v>149</v>
      </c>
      <c r="V9" t="s">
        <v>150</v>
      </c>
      <c r="X9" t="s">
        <v>549</v>
      </c>
      <c r="Y9" t="s">
        <v>149</v>
      </c>
      <c r="Z9" t="s">
        <v>150</v>
      </c>
      <c r="AA9">
        <v>6.4185999999999996</v>
      </c>
      <c r="AB9">
        <v>7.38</v>
      </c>
    </row>
    <row r="10" spans="1:28" x14ac:dyDescent="0.25">
      <c r="A10">
        <v>32838</v>
      </c>
      <c r="B10" t="s">
        <v>556</v>
      </c>
      <c r="C10" t="s">
        <v>247</v>
      </c>
      <c r="D10">
        <v>21.56</v>
      </c>
      <c r="E10" s="21">
        <v>46190</v>
      </c>
      <c r="F10" s="21">
        <v>46190</v>
      </c>
      <c r="G10" s="21">
        <v>46190</v>
      </c>
      <c r="J10">
        <v>15541950</v>
      </c>
      <c r="M10">
        <v>0</v>
      </c>
      <c r="N10" t="s">
        <v>250</v>
      </c>
      <c r="O10" t="s">
        <v>251</v>
      </c>
      <c r="P10" t="s">
        <v>247</v>
      </c>
      <c r="Q10" s="21">
        <v>46190</v>
      </c>
      <c r="R10" s="21">
        <v>46190</v>
      </c>
      <c r="S10">
        <v>0</v>
      </c>
      <c r="T10">
        <v>0</v>
      </c>
      <c r="U10" t="s">
        <v>149</v>
      </c>
      <c r="V10" t="s">
        <v>150</v>
      </c>
      <c r="X10" t="s">
        <v>553</v>
      </c>
      <c r="Y10" t="s">
        <v>149</v>
      </c>
      <c r="Z10" t="s">
        <v>150</v>
      </c>
      <c r="AA10">
        <v>18.75</v>
      </c>
      <c r="AB10">
        <v>21.56</v>
      </c>
    </row>
    <row r="11" spans="1:28" x14ac:dyDescent="0.25">
      <c r="A11">
        <v>32839</v>
      </c>
      <c r="B11" t="s">
        <v>577</v>
      </c>
      <c r="C11" t="s">
        <v>252</v>
      </c>
      <c r="D11">
        <v>152.91999999999999</v>
      </c>
      <c r="E11" s="21">
        <v>46190</v>
      </c>
      <c r="F11" s="21">
        <v>46190</v>
      </c>
      <c r="G11" s="21">
        <v>46190</v>
      </c>
      <c r="J11">
        <v>160</v>
      </c>
      <c r="K11" t="s">
        <v>578</v>
      </c>
      <c r="L11" t="s">
        <v>578</v>
      </c>
      <c r="M11">
        <v>0</v>
      </c>
      <c r="N11">
        <v>2544</v>
      </c>
      <c r="O11" t="s">
        <v>253</v>
      </c>
      <c r="P11" t="s">
        <v>252</v>
      </c>
      <c r="Q11" s="21">
        <v>46190</v>
      </c>
      <c r="R11" s="21">
        <v>46190</v>
      </c>
      <c r="S11">
        <v>0</v>
      </c>
      <c r="T11">
        <v>0</v>
      </c>
      <c r="U11" t="s">
        <v>158</v>
      </c>
      <c r="V11" t="s">
        <v>159</v>
      </c>
      <c r="W11" t="s">
        <v>579</v>
      </c>
      <c r="X11" t="s">
        <v>564</v>
      </c>
      <c r="Y11" t="s">
        <v>158</v>
      </c>
      <c r="Z11" t="s">
        <v>159</v>
      </c>
      <c r="AA11">
        <v>164.7508</v>
      </c>
      <c r="AB11">
        <v>189.46</v>
      </c>
    </row>
    <row r="12" spans="1:28" x14ac:dyDescent="0.25">
      <c r="A12">
        <v>32840</v>
      </c>
      <c r="B12" t="s">
        <v>580</v>
      </c>
      <c r="C12" t="s">
        <v>252</v>
      </c>
      <c r="D12">
        <v>36.54</v>
      </c>
      <c r="E12" s="21">
        <v>46190</v>
      </c>
      <c r="F12" s="21">
        <v>46190</v>
      </c>
      <c r="G12" s="21">
        <v>46190</v>
      </c>
      <c r="J12">
        <v>161</v>
      </c>
      <c r="K12" t="s">
        <v>581</v>
      </c>
      <c r="L12" t="s">
        <v>581</v>
      </c>
      <c r="M12">
        <v>0</v>
      </c>
      <c r="N12">
        <v>2544</v>
      </c>
      <c r="O12" t="s">
        <v>253</v>
      </c>
      <c r="P12" t="s">
        <v>252</v>
      </c>
      <c r="Q12" s="21">
        <v>46190</v>
      </c>
      <c r="R12" s="21">
        <v>46190</v>
      </c>
      <c r="S12">
        <v>0</v>
      </c>
      <c r="T12">
        <v>0</v>
      </c>
      <c r="U12" t="s">
        <v>158</v>
      </c>
      <c r="V12" t="s">
        <v>159</v>
      </c>
      <c r="W12" t="s">
        <v>582</v>
      </c>
      <c r="X12" t="s">
        <v>564</v>
      </c>
      <c r="Y12" t="s">
        <v>158</v>
      </c>
      <c r="Z12" t="s">
        <v>159</v>
      </c>
      <c r="AA12">
        <v>164.7508</v>
      </c>
      <c r="AB12">
        <v>189.46</v>
      </c>
    </row>
    <row r="13" spans="1:28" x14ac:dyDescent="0.25">
      <c r="A13">
        <v>32855</v>
      </c>
      <c r="B13" t="s">
        <v>583</v>
      </c>
      <c r="C13" t="s">
        <v>285</v>
      </c>
      <c r="D13">
        <v>7.08</v>
      </c>
      <c r="E13" s="21">
        <v>46190</v>
      </c>
      <c r="F13" s="21">
        <v>46190</v>
      </c>
      <c r="G13" s="21">
        <v>46190</v>
      </c>
      <c r="M13">
        <v>0</v>
      </c>
      <c r="N13" t="s">
        <v>198</v>
      </c>
      <c r="O13" t="s">
        <v>199</v>
      </c>
      <c r="P13" t="s">
        <v>285</v>
      </c>
      <c r="Q13" s="21">
        <v>46190</v>
      </c>
      <c r="R13" s="21">
        <v>46190</v>
      </c>
      <c r="S13">
        <v>0</v>
      </c>
      <c r="T13">
        <v>0</v>
      </c>
      <c r="U13" t="s">
        <v>158</v>
      </c>
      <c r="V13" t="s">
        <v>159</v>
      </c>
      <c r="X13" t="s">
        <v>549</v>
      </c>
      <c r="Y13" t="s">
        <v>158</v>
      </c>
      <c r="Z13" t="s">
        <v>159</v>
      </c>
      <c r="AA13">
        <v>6.1559999999999997</v>
      </c>
      <c r="AB13">
        <v>7.08</v>
      </c>
    </row>
    <row r="14" spans="1:28" x14ac:dyDescent="0.25">
      <c r="A14">
        <v>32863</v>
      </c>
      <c r="B14" t="s">
        <v>557</v>
      </c>
      <c r="C14" t="s">
        <v>288</v>
      </c>
      <c r="D14">
        <v>3.37</v>
      </c>
      <c r="E14" s="21">
        <v>46190</v>
      </c>
      <c r="F14" s="21">
        <v>46190</v>
      </c>
      <c r="G14" s="21">
        <v>46190</v>
      </c>
      <c r="M14">
        <v>0</v>
      </c>
      <c r="N14" t="s">
        <v>291</v>
      </c>
      <c r="O14" t="s">
        <v>292</v>
      </c>
      <c r="P14" t="s">
        <v>288</v>
      </c>
      <c r="Q14" s="21">
        <v>46190</v>
      </c>
      <c r="R14" s="21">
        <v>46190</v>
      </c>
      <c r="S14">
        <v>0</v>
      </c>
      <c r="T14">
        <v>0</v>
      </c>
      <c r="U14" t="s">
        <v>149</v>
      </c>
      <c r="V14" t="s">
        <v>150</v>
      </c>
      <c r="X14" t="s">
        <v>549</v>
      </c>
      <c r="Y14" t="s">
        <v>149</v>
      </c>
      <c r="Z14" t="s">
        <v>150</v>
      </c>
      <c r="AA14">
        <v>2.9289999999999998</v>
      </c>
      <c r="AB14">
        <v>3.37</v>
      </c>
    </row>
    <row r="15" spans="1:28" x14ac:dyDescent="0.25">
      <c r="A15">
        <v>32871</v>
      </c>
      <c r="B15" t="s">
        <v>558</v>
      </c>
      <c r="C15" t="s">
        <v>298</v>
      </c>
      <c r="D15">
        <v>11.62</v>
      </c>
      <c r="E15" s="21">
        <v>46190</v>
      </c>
      <c r="F15" s="21">
        <v>46190</v>
      </c>
      <c r="G15" s="21">
        <v>46190</v>
      </c>
      <c r="M15">
        <v>0</v>
      </c>
      <c r="N15" t="s">
        <v>303</v>
      </c>
      <c r="O15" t="s">
        <v>304</v>
      </c>
      <c r="P15" t="s">
        <v>298</v>
      </c>
      <c r="Q15" s="21">
        <v>46190</v>
      </c>
      <c r="R15" s="21">
        <v>46190</v>
      </c>
      <c r="S15">
        <v>0</v>
      </c>
      <c r="T15">
        <v>0</v>
      </c>
      <c r="U15" t="s">
        <v>149</v>
      </c>
      <c r="V15" t="s">
        <v>150</v>
      </c>
      <c r="X15" t="s">
        <v>549</v>
      </c>
      <c r="Y15" t="s">
        <v>149</v>
      </c>
      <c r="Z15" t="s">
        <v>150</v>
      </c>
      <c r="AA15">
        <v>10.1012</v>
      </c>
      <c r="AB15">
        <v>11.62</v>
      </c>
    </row>
    <row r="16" spans="1:28" x14ac:dyDescent="0.25">
      <c r="A16">
        <v>32872</v>
      </c>
      <c r="B16" t="s">
        <v>559</v>
      </c>
      <c r="C16" t="s">
        <v>305</v>
      </c>
      <c r="D16">
        <v>3.25</v>
      </c>
      <c r="E16" s="21">
        <v>46190</v>
      </c>
      <c r="F16" s="21">
        <v>46190</v>
      </c>
      <c r="G16" s="21">
        <v>46190</v>
      </c>
      <c r="M16">
        <v>0</v>
      </c>
      <c r="N16" t="s">
        <v>303</v>
      </c>
      <c r="O16" t="s">
        <v>304</v>
      </c>
      <c r="P16" t="s">
        <v>305</v>
      </c>
      <c r="Q16" s="21">
        <v>46190</v>
      </c>
      <c r="R16" s="21">
        <v>46190</v>
      </c>
      <c r="S16">
        <v>0</v>
      </c>
      <c r="T16">
        <v>0</v>
      </c>
      <c r="U16" t="s">
        <v>149</v>
      </c>
      <c r="V16" t="s">
        <v>150</v>
      </c>
      <c r="X16" t="s">
        <v>549</v>
      </c>
      <c r="Y16" t="s">
        <v>149</v>
      </c>
      <c r="Z16" t="s">
        <v>150</v>
      </c>
      <c r="AA16">
        <v>2.8260999999999998</v>
      </c>
      <c r="AB16">
        <v>3.25</v>
      </c>
    </row>
    <row r="17" spans="1:28" x14ac:dyDescent="0.25">
      <c r="A17">
        <v>32890</v>
      </c>
      <c r="B17" t="s">
        <v>560</v>
      </c>
      <c r="C17" t="s">
        <v>326</v>
      </c>
      <c r="D17">
        <v>5.41</v>
      </c>
      <c r="E17" s="21">
        <v>46190</v>
      </c>
      <c r="F17" s="21">
        <v>46190</v>
      </c>
      <c r="G17" s="21">
        <v>46190</v>
      </c>
      <c r="M17">
        <v>0</v>
      </c>
      <c r="N17" t="s">
        <v>303</v>
      </c>
      <c r="O17" t="s">
        <v>304</v>
      </c>
      <c r="P17" t="s">
        <v>326</v>
      </c>
      <c r="Q17" s="21">
        <v>46190</v>
      </c>
      <c r="R17" s="21">
        <v>46190</v>
      </c>
      <c r="S17">
        <v>0</v>
      </c>
      <c r="T17">
        <v>0</v>
      </c>
      <c r="U17" t="s">
        <v>149</v>
      </c>
      <c r="V17" t="s">
        <v>150</v>
      </c>
      <c r="X17" t="s">
        <v>549</v>
      </c>
      <c r="Y17" t="s">
        <v>149</v>
      </c>
      <c r="Z17" t="s">
        <v>150</v>
      </c>
      <c r="AA17">
        <v>4.7041000000000004</v>
      </c>
      <c r="AB17">
        <v>5.41</v>
      </c>
    </row>
    <row r="18" spans="1:28" x14ac:dyDescent="0.25">
      <c r="A18">
        <v>32897</v>
      </c>
      <c r="B18" t="s">
        <v>561</v>
      </c>
      <c r="C18" t="s">
        <v>329</v>
      </c>
      <c r="D18">
        <v>5.36</v>
      </c>
      <c r="E18" s="21">
        <v>46190</v>
      </c>
      <c r="F18" s="21">
        <v>46190</v>
      </c>
      <c r="G18" s="21">
        <v>46190</v>
      </c>
      <c r="M18">
        <v>0</v>
      </c>
      <c r="N18" t="s">
        <v>303</v>
      </c>
      <c r="O18" t="s">
        <v>304</v>
      </c>
      <c r="P18" t="s">
        <v>329</v>
      </c>
      <c r="Q18" s="21">
        <v>46190</v>
      </c>
      <c r="R18" s="21">
        <v>46190</v>
      </c>
      <c r="S18">
        <v>0</v>
      </c>
      <c r="T18">
        <v>0</v>
      </c>
      <c r="U18" t="s">
        <v>149</v>
      </c>
      <c r="V18" t="s">
        <v>150</v>
      </c>
      <c r="X18" t="s">
        <v>549</v>
      </c>
      <c r="Y18" t="s">
        <v>149</v>
      </c>
      <c r="Z18" t="s">
        <v>150</v>
      </c>
      <c r="AA18">
        <v>4.6616</v>
      </c>
      <c r="AB18">
        <v>5.36</v>
      </c>
    </row>
    <row r="19" spans="1:28" x14ac:dyDescent="0.25">
      <c r="A19">
        <v>32933</v>
      </c>
      <c r="B19" t="s">
        <v>562</v>
      </c>
      <c r="C19" t="s">
        <v>339</v>
      </c>
      <c r="D19">
        <v>4.63</v>
      </c>
      <c r="E19" s="21">
        <v>46190</v>
      </c>
      <c r="F19" s="21">
        <v>46190</v>
      </c>
      <c r="G19" s="21">
        <v>46190</v>
      </c>
      <c r="J19">
        <v>162</v>
      </c>
      <c r="K19" t="s">
        <v>563</v>
      </c>
      <c r="L19" t="s">
        <v>563</v>
      </c>
      <c r="M19">
        <v>0</v>
      </c>
      <c r="N19" t="s">
        <v>342</v>
      </c>
      <c r="O19" t="s">
        <v>343</v>
      </c>
      <c r="P19" t="s">
        <v>339</v>
      </c>
      <c r="Q19" s="21">
        <v>46190</v>
      </c>
      <c r="R19" s="21">
        <v>46190</v>
      </c>
      <c r="S19">
        <v>0</v>
      </c>
      <c r="T19">
        <v>0</v>
      </c>
      <c r="U19" t="s">
        <v>149</v>
      </c>
      <c r="V19" t="s">
        <v>150</v>
      </c>
      <c r="X19" t="s">
        <v>564</v>
      </c>
      <c r="Y19" t="s">
        <v>149</v>
      </c>
      <c r="Z19" t="s">
        <v>150</v>
      </c>
      <c r="AA19">
        <v>4.0259999999999998</v>
      </c>
      <c r="AB19">
        <v>4.63</v>
      </c>
    </row>
    <row r="20" spans="1:28" x14ac:dyDescent="0.25">
      <c r="A20">
        <v>32942</v>
      </c>
      <c r="B20" t="s">
        <v>584</v>
      </c>
      <c r="C20" t="s">
        <v>348</v>
      </c>
      <c r="D20">
        <v>61.19</v>
      </c>
      <c r="E20" s="21">
        <v>46190</v>
      </c>
      <c r="F20" s="21">
        <v>46190</v>
      </c>
      <c r="G20" s="21">
        <v>46190</v>
      </c>
      <c r="M20">
        <v>0</v>
      </c>
      <c r="N20" t="s">
        <v>350</v>
      </c>
      <c r="O20" t="s">
        <v>351</v>
      </c>
      <c r="P20" t="s">
        <v>348</v>
      </c>
      <c r="Q20" s="21">
        <v>46190</v>
      </c>
      <c r="R20" s="21">
        <v>46190</v>
      </c>
      <c r="S20">
        <v>0</v>
      </c>
      <c r="T20">
        <v>0</v>
      </c>
      <c r="U20" t="s">
        <v>158</v>
      </c>
      <c r="V20" t="s">
        <v>159</v>
      </c>
      <c r="X20" t="s">
        <v>549</v>
      </c>
      <c r="Y20" t="s">
        <v>158</v>
      </c>
      <c r="Z20" t="s">
        <v>159</v>
      </c>
      <c r="AA20">
        <v>53.213500000000003</v>
      </c>
      <c r="AB20">
        <v>61.19</v>
      </c>
    </row>
    <row r="21" spans="1:28" x14ac:dyDescent="0.25">
      <c r="A21">
        <v>32948</v>
      </c>
      <c r="B21" t="s">
        <v>565</v>
      </c>
      <c r="C21" t="s">
        <v>366</v>
      </c>
      <c r="D21">
        <v>36.700000000000003</v>
      </c>
      <c r="E21" s="21">
        <v>46190</v>
      </c>
      <c r="F21" s="21">
        <v>46190</v>
      </c>
      <c r="G21" s="21">
        <v>46190</v>
      </c>
      <c r="M21">
        <v>0</v>
      </c>
      <c r="N21" t="s">
        <v>370</v>
      </c>
      <c r="O21" t="s">
        <v>371</v>
      </c>
      <c r="P21" t="s">
        <v>366</v>
      </c>
      <c r="Q21" s="21">
        <v>46190</v>
      </c>
      <c r="R21" s="21">
        <v>46190</v>
      </c>
      <c r="S21">
        <v>0</v>
      </c>
      <c r="T21">
        <v>0</v>
      </c>
      <c r="U21" t="s">
        <v>149</v>
      </c>
      <c r="V21" t="s">
        <v>150</v>
      </c>
      <c r="X21" t="s">
        <v>549</v>
      </c>
      <c r="Y21" t="s">
        <v>149</v>
      </c>
      <c r="Z21" t="s">
        <v>150</v>
      </c>
      <c r="AA21">
        <v>31.91</v>
      </c>
      <c r="AB21">
        <v>36.700000000000003</v>
      </c>
    </row>
    <row r="22" spans="1:28" x14ac:dyDescent="0.25">
      <c r="A22">
        <v>32955</v>
      </c>
      <c r="B22" t="s">
        <v>585</v>
      </c>
      <c r="C22" t="s">
        <v>372</v>
      </c>
      <c r="D22">
        <v>4.8</v>
      </c>
      <c r="E22" s="21">
        <v>46190</v>
      </c>
      <c r="F22" s="21">
        <v>46190</v>
      </c>
      <c r="G22" s="21">
        <v>46190</v>
      </c>
      <c r="J22" t="s">
        <v>586</v>
      </c>
      <c r="M22">
        <v>0</v>
      </c>
      <c r="N22" t="s">
        <v>375</v>
      </c>
      <c r="O22" t="s">
        <v>376</v>
      </c>
      <c r="P22" t="s">
        <v>372</v>
      </c>
      <c r="Q22" s="21">
        <v>46190</v>
      </c>
      <c r="R22" s="21">
        <v>46190</v>
      </c>
      <c r="S22">
        <v>0</v>
      </c>
      <c r="T22">
        <v>0</v>
      </c>
      <c r="U22" t="s">
        <v>158</v>
      </c>
      <c r="V22" t="s">
        <v>159</v>
      </c>
      <c r="W22" t="s">
        <v>587</v>
      </c>
      <c r="X22" t="s">
        <v>553</v>
      </c>
      <c r="Y22" t="s">
        <v>158</v>
      </c>
      <c r="Z22" t="s">
        <v>159</v>
      </c>
      <c r="AA22">
        <v>4.17</v>
      </c>
      <c r="AB22">
        <v>4.8</v>
      </c>
    </row>
    <row r="23" spans="1:28" x14ac:dyDescent="0.25">
      <c r="A23">
        <v>32957</v>
      </c>
      <c r="B23" t="s">
        <v>588</v>
      </c>
      <c r="C23" t="s">
        <v>387</v>
      </c>
      <c r="D23">
        <v>16.45</v>
      </c>
      <c r="E23" s="21">
        <v>46190</v>
      </c>
      <c r="F23" s="21">
        <v>46190</v>
      </c>
      <c r="G23" s="21">
        <v>46190</v>
      </c>
      <c r="M23">
        <v>0</v>
      </c>
      <c r="N23" t="s">
        <v>390</v>
      </c>
      <c r="O23" t="s">
        <v>391</v>
      </c>
      <c r="P23" t="s">
        <v>387</v>
      </c>
      <c r="Q23" s="21">
        <v>46190</v>
      </c>
      <c r="R23" s="21">
        <v>46190</v>
      </c>
      <c r="S23">
        <v>0</v>
      </c>
      <c r="T23">
        <v>0</v>
      </c>
      <c r="U23" t="s">
        <v>158</v>
      </c>
      <c r="V23" t="s">
        <v>159</v>
      </c>
      <c r="X23" t="s">
        <v>549</v>
      </c>
      <c r="Y23" t="s">
        <v>158</v>
      </c>
      <c r="Z23" t="s">
        <v>159</v>
      </c>
      <c r="AA23">
        <v>14.3</v>
      </c>
      <c r="AB23">
        <v>16.45</v>
      </c>
    </row>
    <row r="24" spans="1:28" x14ac:dyDescent="0.25">
      <c r="A24">
        <v>32965</v>
      </c>
      <c r="B24" t="s">
        <v>589</v>
      </c>
      <c r="C24" t="s">
        <v>392</v>
      </c>
      <c r="D24">
        <v>6.35</v>
      </c>
      <c r="E24" s="21">
        <v>46190</v>
      </c>
      <c r="F24" s="21">
        <v>46190</v>
      </c>
      <c r="G24" s="21">
        <v>46190</v>
      </c>
      <c r="M24">
        <v>0</v>
      </c>
      <c r="N24" t="s">
        <v>395</v>
      </c>
      <c r="O24" t="s">
        <v>396</v>
      </c>
      <c r="P24" t="s">
        <v>392</v>
      </c>
      <c r="Q24" s="21">
        <v>46190</v>
      </c>
      <c r="R24" s="21">
        <v>46190</v>
      </c>
      <c r="S24">
        <v>0</v>
      </c>
      <c r="T24">
        <v>0</v>
      </c>
      <c r="U24" t="s">
        <v>158</v>
      </c>
      <c r="V24" t="s">
        <v>159</v>
      </c>
      <c r="X24" t="s">
        <v>549</v>
      </c>
      <c r="Y24" t="s">
        <v>158</v>
      </c>
      <c r="Z24" t="s">
        <v>159</v>
      </c>
      <c r="AA24">
        <v>5.5194000000000001</v>
      </c>
      <c r="AB24">
        <v>6.35</v>
      </c>
    </row>
    <row r="25" spans="1:28" x14ac:dyDescent="0.25">
      <c r="A25">
        <v>32971</v>
      </c>
      <c r="B25" t="s">
        <v>590</v>
      </c>
      <c r="C25" t="s">
        <v>406</v>
      </c>
      <c r="D25">
        <v>4.5</v>
      </c>
      <c r="E25" s="21">
        <v>46190</v>
      </c>
      <c r="F25" s="21">
        <v>46190</v>
      </c>
      <c r="G25" s="21">
        <v>46190</v>
      </c>
      <c r="M25">
        <v>0</v>
      </c>
      <c r="N25" t="s">
        <v>303</v>
      </c>
      <c r="O25" t="s">
        <v>304</v>
      </c>
      <c r="P25" t="s">
        <v>406</v>
      </c>
      <c r="Q25" s="21">
        <v>46190</v>
      </c>
      <c r="R25" s="21">
        <v>46190</v>
      </c>
      <c r="S25">
        <v>0</v>
      </c>
      <c r="T25">
        <v>0</v>
      </c>
      <c r="U25" t="s">
        <v>158</v>
      </c>
      <c r="V25" t="s">
        <v>159</v>
      </c>
      <c r="X25" t="s">
        <v>549</v>
      </c>
      <c r="Y25" t="s">
        <v>158</v>
      </c>
      <c r="Z25" t="s">
        <v>159</v>
      </c>
      <c r="AA25">
        <v>3.9133</v>
      </c>
      <c r="AB25">
        <v>4.5</v>
      </c>
    </row>
    <row r="26" spans="1:28" x14ac:dyDescent="0.25">
      <c r="A26">
        <v>32972</v>
      </c>
      <c r="B26" t="s">
        <v>591</v>
      </c>
      <c r="C26" t="s">
        <v>407</v>
      </c>
      <c r="D26">
        <v>6.35</v>
      </c>
      <c r="E26" s="21">
        <v>46190</v>
      </c>
      <c r="F26" s="21">
        <v>46190</v>
      </c>
      <c r="G26" s="21">
        <v>46190</v>
      </c>
      <c r="M26">
        <v>0</v>
      </c>
      <c r="N26" t="s">
        <v>408</v>
      </c>
      <c r="O26" t="s">
        <v>409</v>
      </c>
      <c r="P26" t="s">
        <v>407</v>
      </c>
      <c r="Q26" s="21">
        <v>46190</v>
      </c>
      <c r="R26" s="21">
        <v>46190</v>
      </c>
      <c r="S26">
        <v>0</v>
      </c>
      <c r="T26">
        <v>0</v>
      </c>
      <c r="U26" t="s">
        <v>158</v>
      </c>
      <c r="V26" t="s">
        <v>159</v>
      </c>
      <c r="X26" t="s">
        <v>549</v>
      </c>
      <c r="Y26" t="s">
        <v>158</v>
      </c>
      <c r="Z26" t="s">
        <v>159</v>
      </c>
      <c r="AA26">
        <v>5.52</v>
      </c>
      <c r="AB26">
        <v>6.35</v>
      </c>
    </row>
    <row r="27" spans="1:28" x14ac:dyDescent="0.25">
      <c r="A27">
        <v>32978</v>
      </c>
      <c r="B27" t="s">
        <v>592</v>
      </c>
      <c r="C27" t="s">
        <v>416</v>
      </c>
      <c r="D27">
        <v>0.85</v>
      </c>
      <c r="E27" s="21">
        <v>46190</v>
      </c>
      <c r="F27" s="21">
        <v>46190</v>
      </c>
      <c r="G27" s="21">
        <v>46190</v>
      </c>
      <c r="M27">
        <v>0</v>
      </c>
      <c r="N27" t="s">
        <v>221</v>
      </c>
      <c r="O27" t="s">
        <v>222</v>
      </c>
      <c r="P27" t="s">
        <v>416</v>
      </c>
      <c r="Q27" s="21">
        <v>46190</v>
      </c>
      <c r="R27" s="21">
        <v>46190</v>
      </c>
      <c r="S27">
        <v>0</v>
      </c>
      <c r="T27">
        <v>0</v>
      </c>
      <c r="U27" t="s">
        <v>158</v>
      </c>
      <c r="V27" t="s">
        <v>159</v>
      </c>
      <c r="X27" t="s">
        <v>549</v>
      </c>
      <c r="Y27" t="s">
        <v>158</v>
      </c>
      <c r="Z27" t="s">
        <v>159</v>
      </c>
      <c r="AA27">
        <v>0.74</v>
      </c>
      <c r="AB27">
        <v>0.85</v>
      </c>
    </row>
    <row r="28" spans="1:28" x14ac:dyDescent="0.25">
      <c r="A28">
        <v>32979</v>
      </c>
      <c r="B28" t="s">
        <v>593</v>
      </c>
      <c r="C28" t="s">
        <v>417</v>
      </c>
      <c r="D28">
        <v>43.39</v>
      </c>
      <c r="E28" s="21">
        <v>46190</v>
      </c>
      <c r="F28" s="21">
        <v>46190</v>
      </c>
      <c r="G28" s="21">
        <v>46190</v>
      </c>
      <c r="M28">
        <v>0</v>
      </c>
      <c r="N28" t="s">
        <v>418</v>
      </c>
      <c r="O28" t="s">
        <v>419</v>
      </c>
      <c r="P28" t="s">
        <v>417</v>
      </c>
      <c r="Q28" s="21">
        <v>46190</v>
      </c>
      <c r="R28" s="21">
        <v>46190</v>
      </c>
      <c r="S28">
        <v>0</v>
      </c>
      <c r="T28">
        <v>0</v>
      </c>
      <c r="U28" t="s">
        <v>158</v>
      </c>
      <c r="V28" t="s">
        <v>159</v>
      </c>
      <c r="X28" t="s">
        <v>549</v>
      </c>
      <c r="Y28" t="s">
        <v>158</v>
      </c>
      <c r="Z28" t="s">
        <v>159</v>
      </c>
      <c r="AA28">
        <v>37.726399999999998</v>
      </c>
      <c r="AB28">
        <v>43.39</v>
      </c>
    </row>
    <row r="29" spans="1:28" x14ac:dyDescent="0.25">
      <c r="A29">
        <v>32984</v>
      </c>
      <c r="B29" t="s">
        <v>594</v>
      </c>
      <c r="C29" t="s">
        <v>420</v>
      </c>
      <c r="D29">
        <v>13.75</v>
      </c>
      <c r="E29" s="21">
        <v>46190</v>
      </c>
      <c r="F29" s="21">
        <v>46190</v>
      </c>
      <c r="G29" s="21">
        <v>46190</v>
      </c>
      <c r="M29">
        <v>0</v>
      </c>
      <c r="N29" t="s">
        <v>166</v>
      </c>
      <c r="O29" t="s">
        <v>167</v>
      </c>
      <c r="P29" t="s">
        <v>420</v>
      </c>
      <c r="Q29" s="21">
        <v>46190</v>
      </c>
      <c r="R29" s="21">
        <v>46190</v>
      </c>
      <c r="S29">
        <v>0</v>
      </c>
      <c r="T29">
        <v>0</v>
      </c>
      <c r="U29" t="s">
        <v>158</v>
      </c>
      <c r="V29" t="s">
        <v>159</v>
      </c>
      <c r="X29" t="s">
        <v>549</v>
      </c>
      <c r="Y29" t="s">
        <v>158</v>
      </c>
      <c r="Z29" t="s">
        <v>159</v>
      </c>
      <c r="AA29">
        <v>11.956</v>
      </c>
      <c r="AB29">
        <v>13.75</v>
      </c>
    </row>
    <row r="30" spans="1:28" x14ac:dyDescent="0.25">
      <c r="A30">
        <v>33025</v>
      </c>
      <c r="B30" t="s">
        <v>595</v>
      </c>
      <c r="C30" t="s">
        <v>426</v>
      </c>
      <c r="D30">
        <v>30.96</v>
      </c>
      <c r="E30" s="21">
        <v>46190</v>
      </c>
      <c r="F30" s="21">
        <v>46190</v>
      </c>
      <c r="G30" s="21">
        <v>46190</v>
      </c>
      <c r="M30">
        <v>0</v>
      </c>
      <c r="N30" t="s">
        <v>427</v>
      </c>
      <c r="O30" t="s">
        <v>428</v>
      </c>
      <c r="P30" t="s">
        <v>426</v>
      </c>
      <c r="Q30" s="21">
        <v>46190</v>
      </c>
      <c r="R30" s="21">
        <v>46190</v>
      </c>
      <c r="S30">
        <v>0</v>
      </c>
      <c r="T30">
        <v>0</v>
      </c>
      <c r="U30" t="s">
        <v>158</v>
      </c>
      <c r="V30" t="s">
        <v>159</v>
      </c>
      <c r="X30" t="s">
        <v>549</v>
      </c>
      <c r="Y30" t="s">
        <v>158</v>
      </c>
      <c r="Z30" t="s">
        <v>159</v>
      </c>
      <c r="AA30">
        <v>26.919699999999999</v>
      </c>
      <c r="AB30">
        <v>30.96</v>
      </c>
    </row>
    <row r="31" spans="1:28" x14ac:dyDescent="0.25">
      <c r="A31">
        <v>33026</v>
      </c>
      <c r="B31" t="s">
        <v>596</v>
      </c>
      <c r="C31" t="s">
        <v>433</v>
      </c>
      <c r="D31">
        <v>5.47</v>
      </c>
      <c r="E31" s="21">
        <v>46190</v>
      </c>
      <c r="F31" s="21">
        <v>46190</v>
      </c>
      <c r="G31" s="21">
        <v>46190</v>
      </c>
      <c r="M31">
        <v>0</v>
      </c>
      <c r="N31" t="s">
        <v>437</v>
      </c>
      <c r="O31" t="s">
        <v>438</v>
      </c>
      <c r="P31" t="s">
        <v>433</v>
      </c>
      <c r="Q31" s="21">
        <v>46190</v>
      </c>
      <c r="R31" s="21">
        <v>46190</v>
      </c>
      <c r="S31">
        <v>0</v>
      </c>
      <c r="T31">
        <v>0</v>
      </c>
      <c r="U31" t="s">
        <v>158</v>
      </c>
      <c r="V31" t="s">
        <v>159</v>
      </c>
      <c r="X31" t="s">
        <v>549</v>
      </c>
      <c r="Y31" t="s">
        <v>158</v>
      </c>
      <c r="Z31" t="s">
        <v>159</v>
      </c>
      <c r="AA31">
        <v>4.7598000000000003</v>
      </c>
      <c r="AB31">
        <v>5.47</v>
      </c>
    </row>
    <row r="32" spans="1:28" x14ac:dyDescent="0.25">
      <c r="A32">
        <v>33038</v>
      </c>
      <c r="B32" t="s">
        <v>597</v>
      </c>
      <c r="C32" t="s">
        <v>439</v>
      </c>
      <c r="D32">
        <v>4.38</v>
      </c>
      <c r="E32" s="21">
        <v>46190</v>
      </c>
      <c r="F32" s="21">
        <v>46190</v>
      </c>
      <c r="G32" s="21">
        <v>46190</v>
      </c>
      <c r="M32">
        <v>0</v>
      </c>
      <c r="N32" t="s">
        <v>440</v>
      </c>
      <c r="O32" t="s">
        <v>441</v>
      </c>
      <c r="P32" t="s">
        <v>439</v>
      </c>
      <c r="Q32" s="21">
        <v>46190</v>
      </c>
      <c r="R32" s="21">
        <v>46190</v>
      </c>
      <c r="S32">
        <v>0</v>
      </c>
      <c r="T32">
        <v>0</v>
      </c>
      <c r="U32" t="s">
        <v>158</v>
      </c>
      <c r="V32" t="s">
        <v>159</v>
      </c>
      <c r="X32" t="s">
        <v>549</v>
      </c>
      <c r="Y32" t="s">
        <v>158</v>
      </c>
      <c r="Z32" t="s">
        <v>159</v>
      </c>
      <c r="AA32">
        <v>3.8109000000000002</v>
      </c>
      <c r="AB32">
        <v>4.38</v>
      </c>
    </row>
    <row r="33" spans="1:28" x14ac:dyDescent="0.25">
      <c r="A33">
        <v>33042</v>
      </c>
      <c r="B33" t="s">
        <v>598</v>
      </c>
      <c r="C33" t="s">
        <v>442</v>
      </c>
      <c r="D33">
        <v>6.07</v>
      </c>
      <c r="E33" s="21">
        <v>46190</v>
      </c>
      <c r="F33" s="21">
        <v>46190</v>
      </c>
      <c r="G33" s="21">
        <v>46190</v>
      </c>
      <c r="M33">
        <v>0</v>
      </c>
      <c r="N33" t="s">
        <v>445</v>
      </c>
      <c r="O33" t="s">
        <v>446</v>
      </c>
      <c r="P33" t="s">
        <v>442</v>
      </c>
      <c r="Q33" s="21">
        <v>46190</v>
      </c>
      <c r="R33" s="21">
        <v>46190</v>
      </c>
      <c r="S33">
        <v>0</v>
      </c>
      <c r="T33">
        <v>0</v>
      </c>
      <c r="U33" t="s">
        <v>158</v>
      </c>
      <c r="V33" t="s">
        <v>159</v>
      </c>
      <c r="X33" t="s">
        <v>549</v>
      </c>
      <c r="Y33" t="s">
        <v>158</v>
      </c>
      <c r="Z33" t="s">
        <v>159</v>
      </c>
      <c r="AA33">
        <v>5.28</v>
      </c>
      <c r="AB33">
        <v>6.07</v>
      </c>
    </row>
    <row r="34" spans="1:28" x14ac:dyDescent="0.25">
      <c r="A34">
        <v>33043</v>
      </c>
      <c r="B34" t="s">
        <v>566</v>
      </c>
      <c r="C34" t="s">
        <v>447</v>
      </c>
      <c r="D34">
        <v>6.38</v>
      </c>
      <c r="E34" s="21">
        <v>46190</v>
      </c>
      <c r="F34" s="21">
        <v>46190</v>
      </c>
      <c r="G34" s="21">
        <v>46190</v>
      </c>
      <c r="M34">
        <v>0</v>
      </c>
      <c r="N34" t="s">
        <v>448</v>
      </c>
      <c r="O34" t="s">
        <v>449</v>
      </c>
      <c r="P34" t="s">
        <v>447</v>
      </c>
      <c r="Q34" s="21">
        <v>46190</v>
      </c>
      <c r="R34" s="21">
        <v>46190</v>
      </c>
      <c r="S34">
        <v>0</v>
      </c>
      <c r="T34">
        <v>0</v>
      </c>
      <c r="U34" t="s">
        <v>149</v>
      </c>
      <c r="V34" t="s">
        <v>150</v>
      </c>
      <c r="X34" t="s">
        <v>549</v>
      </c>
      <c r="Y34" t="s">
        <v>149</v>
      </c>
      <c r="Z34" t="s">
        <v>150</v>
      </c>
      <c r="AA34">
        <v>5.5476999999999999</v>
      </c>
      <c r="AB34">
        <v>6.38</v>
      </c>
    </row>
    <row r="35" spans="1:28" x14ac:dyDescent="0.25">
      <c r="A35">
        <v>33059</v>
      </c>
      <c r="B35" t="s">
        <v>599</v>
      </c>
      <c r="C35" t="s">
        <v>453</v>
      </c>
      <c r="D35">
        <v>12.32</v>
      </c>
      <c r="E35" s="21">
        <v>46190</v>
      </c>
      <c r="F35" s="21">
        <v>46190</v>
      </c>
      <c r="G35" s="21">
        <v>46190</v>
      </c>
      <c r="M35">
        <v>0</v>
      </c>
      <c r="N35" t="s">
        <v>457</v>
      </c>
      <c r="O35" t="s">
        <v>600</v>
      </c>
      <c r="P35" t="s">
        <v>453</v>
      </c>
      <c r="Q35" s="21">
        <v>46190</v>
      </c>
      <c r="R35" s="21">
        <v>46190</v>
      </c>
      <c r="S35">
        <v>0</v>
      </c>
      <c r="T35">
        <v>0</v>
      </c>
      <c r="U35" t="s">
        <v>158</v>
      </c>
      <c r="V35" t="s">
        <v>159</v>
      </c>
      <c r="X35" t="s">
        <v>549</v>
      </c>
      <c r="Y35" t="s">
        <v>158</v>
      </c>
      <c r="Z35" t="s">
        <v>159</v>
      </c>
      <c r="AA35">
        <v>10.7125</v>
      </c>
      <c r="AB35">
        <v>12.32</v>
      </c>
    </row>
    <row r="36" spans="1:28" x14ac:dyDescent="0.25">
      <c r="A36">
        <v>33087</v>
      </c>
      <c r="B36" t="s">
        <v>601</v>
      </c>
      <c r="C36" t="s">
        <v>461</v>
      </c>
      <c r="D36">
        <v>12.51</v>
      </c>
      <c r="E36" s="21">
        <v>46190</v>
      </c>
      <c r="F36" s="21">
        <v>46190</v>
      </c>
      <c r="G36" s="21">
        <v>46190</v>
      </c>
      <c r="J36">
        <v>46348966</v>
      </c>
      <c r="M36">
        <v>0</v>
      </c>
      <c r="N36" t="s">
        <v>465</v>
      </c>
      <c r="O36" t="s">
        <v>602</v>
      </c>
      <c r="P36" t="s">
        <v>461</v>
      </c>
      <c r="Q36" s="21">
        <v>46190</v>
      </c>
      <c r="R36" s="21">
        <v>46190</v>
      </c>
      <c r="S36">
        <v>0</v>
      </c>
      <c r="T36">
        <v>0</v>
      </c>
      <c r="U36" t="s">
        <v>158</v>
      </c>
      <c r="V36" t="s">
        <v>159</v>
      </c>
      <c r="W36" t="s">
        <v>603</v>
      </c>
      <c r="X36" t="s">
        <v>553</v>
      </c>
      <c r="Y36" t="s">
        <v>158</v>
      </c>
      <c r="Z36" t="s">
        <v>159</v>
      </c>
      <c r="AA36">
        <v>10.88</v>
      </c>
      <c r="AB36">
        <v>12.51</v>
      </c>
    </row>
    <row r="37" spans="1:28" x14ac:dyDescent="0.25">
      <c r="A37">
        <v>33092</v>
      </c>
      <c r="B37" t="s">
        <v>604</v>
      </c>
      <c r="C37" t="s">
        <v>468</v>
      </c>
      <c r="D37">
        <v>6.73</v>
      </c>
      <c r="E37" s="21">
        <v>46190</v>
      </c>
      <c r="F37" s="21">
        <v>46190</v>
      </c>
      <c r="G37" s="21">
        <v>46190</v>
      </c>
      <c r="M37">
        <v>0</v>
      </c>
      <c r="N37" t="s">
        <v>166</v>
      </c>
      <c r="O37" t="s">
        <v>167</v>
      </c>
      <c r="P37" t="s">
        <v>468</v>
      </c>
      <c r="Q37" s="21">
        <v>46190</v>
      </c>
      <c r="R37" s="21">
        <v>46190</v>
      </c>
      <c r="S37">
        <v>0</v>
      </c>
      <c r="T37">
        <v>0</v>
      </c>
      <c r="U37" t="s">
        <v>158</v>
      </c>
      <c r="V37" t="s">
        <v>159</v>
      </c>
      <c r="X37" t="s">
        <v>549</v>
      </c>
      <c r="Y37" t="s">
        <v>158</v>
      </c>
      <c r="Z37" t="s">
        <v>159</v>
      </c>
      <c r="AA37">
        <v>5.8464</v>
      </c>
      <c r="AB37">
        <v>6.73</v>
      </c>
    </row>
    <row r="38" spans="1:28" x14ac:dyDescent="0.25">
      <c r="A38">
        <v>33109</v>
      </c>
      <c r="B38" t="s">
        <v>567</v>
      </c>
      <c r="C38" t="s">
        <v>477</v>
      </c>
      <c r="D38">
        <v>3.4</v>
      </c>
      <c r="E38" s="21">
        <v>46190</v>
      </c>
      <c r="F38" s="21">
        <v>46190</v>
      </c>
      <c r="G38" s="21">
        <v>46190</v>
      </c>
      <c r="M38">
        <v>0</v>
      </c>
      <c r="N38" t="s">
        <v>198</v>
      </c>
      <c r="O38" t="s">
        <v>199</v>
      </c>
      <c r="P38" t="s">
        <v>477</v>
      </c>
      <c r="Q38" s="21">
        <v>46190</v>
      </c>
      <c r="R38" s="21">
        <v>46190</v>
      </c>
      <c r="S38">
        <v>0</v>
      </c>
      <c r="T38">
        <v>0</v>
      </c>
      <c r="U38" t="s">
        <v>149</v>
      </c>
      <c r="V38" t="s">
        <v>150</v>
      </c>
      <c r="X38" t="s">
        <v>549</v>
      </c>
      <c r="Y38" t="s">
        <v>149</v>
      </c>
      <c r="Z38" t="s">
        <v>150</v>
      </c>
      <c r="AA38">
        <v>2.9620000000000002</v>
      </c>
      <c r="AB38">
        <v>3.4</v>
      </c>
    </row>
    <row r="39" spans="1:28" x14ac:dyDescent="0.25">
      <c r="A39">
        <v>33122</v>
      </c>
      <c r="B39" t="s">
        <v>568</v>
      </c>
      <c r="C39" t="s">
        <v>480</v>
      </c>
      <c r="D39">
        <v>41.92</v>
      </c>
      <c r="E39" s="21">
        <v>46190</v>
      </c>
      <c r="F39" s="21">
        <v>46190</v>
      </c>
      <c r="G39" s="21">
        <v>46190</v>
      </c>
      <c r="M39">
        <v>0</v>
      </c>
      <c r="N39" t="s">
        <v>375</v>
      </c>
      <c r="O39" t="s">
        <v>376</v>
      </c>
      <c r="P39" t="s">
        <v>480</v>
      </c>
      <c r="Q39" s="21">
        <v>46190</v>
      </c>
      <c r="R39" s="21">
        <v>46190</v>
      </c>
      <c r="S39">
        <v>0</v>
      </c>
      <c r="T39">
        <v>0</v>
      </c>
      <c r="U39" t="s">
        <v>149</v>
      </c>
      <c r="V39" t="s">
        <v>150</v>
      </c>
      <c r="X39" t="s">
        <v>549</v>
      </c>
      <c r="Y39" t="s">
        <v>149</v>
      </c>
      <c r="Z39" t="s">
        <v>150</v>
      </c>
      <c r="AA39">
        <v>36.446399999999997</v>
      </c>
      <c r="AB39">
        <v>41.92</v>
      </c>
    </row>
    <row r="40" spans="1:28" x14ac:dyDescent="0.25">
      <c r="A40">
        <v>33133</v>
      </c>
      <c r="B40" t="s">
        <v>605</v>
      </c>
      <c r="C40" t="s">
        <v>485</v>
      </c>
      <c r="D40">
        <v>24.52</v>
      </c>
      <c r="E40" s="21">
        <v>46190</v>
      </c>
      <c r="F40" s="21">
        <v>46190</v>
      </c>
      <c r="G40" s="21">
        <v>46190</v>
      </c>
      <c r="M40">
        <v>0</v>
      </c>
      <c r="N40" t="s">
        <v>486</v>
      </c>
      <c r="O40" t="s">
        <v>487</v>
      </c>
      <c r="P40" t="s">
        <v>485</v>
      </c>
      <c r="Q40" s="21">
        <v>46190</v>
      </c>
      <c r="R40" s="21">
        <v>46190</v>
      </c>
      <c r="S40">
        <v>0</v>
      </c>
      <c r="T40">
        <v>0</v>
      </c>
      <c r="U40" t="s">
        <v>158</v>
      </c>
      <c r="V40" t="s">
        <v>159</v>
      </c>
      <c r="X40" t="s">
        <v>549</v>
      </c>
      <c r="Y40" t="s">
        <v>158</v>
      </c>
      <c r="Z40" t="s">
        <v>159</v>
      </c>
      <c r="AA40">
        <v>21.319299999999998</v>
      </c>
      <c r="AB40">
        <v>24.52</v>
      </c>
    </row>
    <row r="41" spans="1:28" x14ac:dyDescent="0.25">
      <c r="A41">
        <v>33134</v>
      </c>
      <c r="B41" t="s">
        <v>569</v>
      </c>
      <c r="C41" t="s">
        <v>488</v>
      </c>
      <c r="D41">
        <v>20</v>
      </c>
      <c r="E41" s="21">
        <v>46190</v>
      </c>
      <c r="F41" s="21">
        <v>46190</v>
      </c>
      <c r="G41" s="21">
        <v>46190</v>
      </c>
      <c r="M41">
        <v>0</v>
      </c>
      <c r="N41">
        <v>87421</v>
      </c>
      <c r="O41" t="s">
        <v>492</v>
      </c>
      <c r="P41" t="s">
        <v>488</v>
      </c>
      <c r="Q41" s="21">
        <v>46190</v>
      </c>
      <c r="R41" s="21">
        <v>46190</v>
      </c>
      <c r="S41">
        <v>0</v>
      </c>
      <c r="T41">
        <v>0</v>
      </c>
      <c r="U41" t="s">
        <v>149</v>
      </c>
      <c r="V41" t="s">
        <v>150</v>
      </c>
      <c r="X41" t="s">
        <v>549</v>
      </c>
      <c r="Y41" t="s">
        <v>149</v>
      </c>
      <c r="Z41" t="s">
        <v>150</v>
      </c>
      <c r="AA41">
        <v>17.393899999999999</v>
      </c>
      <c r="AB41">
        <v>20</v>
      </c>
    </row>
    <row r="42" spans="1:28" x14ac:dyDescent="0.25">
      <c r="A42">
        <v>33144</v>
      </c>
      <c r="B42" t="s">
        <v>606</v>
      </c>
      <c r="C42" t="s">
        <v>493</v>
      </c>
      <c r="D42">
        <v>4.47</v>
      </c>
      <c r="E42" s="21">
        <v>46190</v>
      </c>
      <c r="F42" s="21">
        <v>46190</v>
      </c>
      <c r="G42" s="21">
        <v>46190</v>
      </c>
      <c r="M42">
        <v>0</v>
      </c>
      <c r="N42" t="s">
        <v>303</v>
      </c>
      <c r="O42" t="s">
        <v>304</v>
      </c>
      <c r="P42" t="s">
        <v>493</v>
      </c>
      <c r="Q42" s="21">
        <v>46190</v>
      </c>
      <c r="R42" s="21">
        <v>46190</v>
      </c>
      <c r="S42">
        <v>0</v>
      </c>
      <c r="T42">
        <v>0</v>
      </c>
      <c r="U42" t="s">
        <v>158</v>
      </c>
      <c r="V42" t="s">
        <v>159</v>
      </c>
      <c r="X42" t="s">
        <v>549</v>
      </c>
      <c r="Y42" t="s">
        <v>158</v>
      </c>
      <c r="Z42" t="s">
        <v>159</v>
      </c>
      <c r="AA42">
        <v>3.8854000000000002</v>
      </c>
      <c r="AB42">
        <v>4.47</v>
      </c>
    </row>
    <row r="43" spans="1:28" x14ac:dyDescent="0.25">
      <c r="A43">
        <v>33149</v>
      </c>
      <c r="B43" t="s">
        <v>570</v>
      </c>
      <c r="C43" t="s">
        <v>496</v>
      </c>
      <c r="D43">
        <v>28.19</v>
      </c>
      <c r="E43" s="21">
        <v>46190</v>
      </c>
      <c r="F43" s="21">
        <v>46190</v>
      </c>
      <c r="G43" s="21">
        <v>46190</v>
      </c>
      <c r="M43">
        <v>0</v>
      </c>
      <c r="N43" t="s">
        <v>499</v>
      </c>
      <c r="O43" t="s">
        <v>500</v>
      </c>
      <c r="P43" t="s">
        <v>496</v>
      </c>
      <c r="Q43" s="21">
        <v>46190</v>
      </c>
      <c r="R43" s="21">
        <v>46190</v>
      </c>
      <c r="S43">
        <v>0</v>
      </c>
      <c r="T43">
        <v>0</v>
      </c>
      <c r="U43" t="s">
        <v>149</v>
      </c>
      <c r="V43" t="s">
        <v>150</v>
      </c>
      <c r="X43" t="s">
        <v>549</v>
      </c>
      <c r="Y43" t="s">
        <v>149</v>
      </c>
      <c r="Z43" t="s">
        <v>150</v>
      </c>
      <c r="AA43">
        <v>24.506399999999999</v>
      </c>
      <c r="AB43">
        <v>28.19</v>
      </c>
    </row>
    <row r="44" spans="1:28" x14ac:dyDescent="0.25">
      <c r="A44">
        <v>33161</v>
      </c>
      <c r="B44" t="s">
        <v>607</v>
      </c>
      <c r="C44" t="s">
        <v>505</v>
      </c>
      <c r="D44">
        <v>32.770000000000003</v>
      </c>
      <c r="E44" s="21">
        <v>46190</v>
      </c>
      <c r="F44" s="21">
        <v>46190</v>
      </c>
      <c r="G44" s="21">
        <v>46190</v>
      </c>
      <c r="M44">
        <v>0</v>
      </c>
      <c r="N44" t="s">
        <v>506</v>
      </c>
      <c r="O44" t="s">
        <v>507</v>
      </c>
      <c r="P44" t="s">
        <v>505</v>
      </c>
      <c r="Q44" s="21">
        <v>46190</v>
      </c>
      <c r="R44" s="21">
        <v>46190</v>
      </c>
      <c r="S44">
        <v>0</v>
      </c>
      <c r="T44">
        <v>0</v>
      </c>
      <c r="U44" t="s">
        <v>158</v>
      </c>
      <c r="V44" t="s">
        <v>159</v>
      </c>
      <c r="X44" t="s">
        <v>549</v>
      </c>
      <c r="Y44" t="s">
        <v>158</v>
      </c>
      <c r="Z44" t="s">
        <v>159</v>
      </c>
      <c r="AA44">
        <v>28.497</v>
      </c>
      <c r="AB44">
        <v>32.770000000000003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FAC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Reinerio Rodriguez</dc:creator>
  <cp:lastModifiedBy>Reinerio Rodriguez</cp:lastModifiedBy>
  <dcterms:created xsi:type="dcterms:W3CDTF">2026-06-18T16:04:27Z</dcterms:created>
  <dcterms:modified xsi:type="dcterms:W3CDTF">2026-06-18T16:55:57Z</dcterms:modified>
</cp:coreProperties>
</file>